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4"/>
    <sheet state="visible" name="Bug Reports" sheetId="2" r:id="rId5"/>
    <sheet state="visible" name="Summary" sheetId="3" r:id="rId6"/>
  </sheets>
  <definedNames/>
  <calcPr/>
  <extLst>
    <ext uri="GoogleSheetsCustomDataVersion2">
      <go:sheetsCustomData xmlns:go="http://customooxmlschemas.google.com/" r:id="rId7" roundtripDataChecksum="OlJt4P6rHgkHPgmkr+f557cYxqiwflZXR0+ZC0k/rYc="/>
    </ext>
  </extLst>
</workbook>
</file>

<file path=xl/sharedStrings.xml><?xml version="1.0" encoding="utf-8"?>
<sst xmlns="http://schemas.openxmlformats.org/spreadsheetml/2006/main" count="257" uniqueCount="158">
  <si>
    <t>QA Testing Summary</t>
  </si>
  <si>
    <t>Test Case ID</t>
  </si>
  <si>
    <t>Bug ID</t>
  </si>
  <si>
    <t>Total Test Cases</t>
  </si>
  <si>
    <t>Module</t>
  </si>
  <si>
    <t>Test Description</t>
  </si>
  <si>
    <t>Related Test Case ID</t>
  </si>
  <si>
    <t>Steps to Reproduce</t>
  </si>
  <si>
    <t>Title</t>
  </si>
  <si>
    <t>Expected Result</t>
  </si>
  <si>
    <t>Severity</t>
  </si>
  <si>
    <t>Actual Result</t>
  </si>
  <si>
    <t>Priority</t>
  </si>
  <si>
    <t>Result</t>
  </si>
  <si>
    <t>Date</t>
  </si>
  <si>
    <t>Tester</t>
  </si>
  <si>
    <t>Status</t>
  </si>
  <si>
    <t>Passed</t>
  </si>
  <si>
    <t>TC-001</t>
  </si>
  <si>
    <t>Date Reported</t>
  </si>
  <si>
    <t>Reported By</t>
  </si>
  <si>
    <t>Login</t>
  </si>
  <si>
    <t>BUG-001</t>
  </si>
  <si>
    <t>Verify user can log in with valid credentials</t>
  </si>
  <si>
    <t>TC-008</t>
  </si>
  <si>
    <t>Failed</t>
  </si>
  <si>
    <t>1. Go to Login page
2. Enter valid email
3. Enter valid password
4. Click Login</t>
  </si>
  <si>
    <t>User is logged in and redirected to Home page</t>
  </si>
  <si>
    <t>Login form is case-sensitive on the email field, which deviates from standard UX practice where email addresses should be treated as case-insensitive</t>
  </si>
  <si>
    <t>Pass Rate</t>
  </si>
  <si>
    <t>Low</t>
  </si>
  <si>
    <t>Pass</t>
  </si>
  <si>
    <t>2026-08-13</t>
  </si>
  <si>
    <t>1. Go to Login page 
2. Enter a valid email with all uppercase letters 
3. Enter a valid password 
4. Click Login</t>
  </si>
  <si>
    <t>Sasa</t>
  </si>
  <si>
    <t>User is logged in successfully</t>
  </si>
  <si>
    <t>TC-002</t>
  </si>
  <si>
    <t>User is not logged in and remains on the Login page, with the following error message "Your email or password is incorrect!"</t>
  </si>
  <si>
    <t>Open</t>
  </si>
  <si>
    <t>Total Bugs Logged</t>
  </si>
  <si>
    <t>Verify that user can't log in with invalid password</t>
  </si>
  <si>
    <t>1. Go to Login page
2. Enter valid email
3. Enter Invalid password
4. Click Login</t>
  </si>
  <si>
    <t>User is not logged in and remains on the Login page with the following error message</t>
  </si>
  <si>
    <t>User is not logged in and remains on the Login page, and Error message appears correctly as "Your email or password is incorrect!"</t>
  </si>
  <si>
    <t>Open Bugs</t>
  </si>
  <si>
    <t>BUG-002</t>
  </si>
  <si>
    <t>TC-015</t>
  </si>
  <si>
    <t>Registration form accepts extremely weak/short passwords (e.g. a single character) with no minimum length or strength requirement enforced</t>
  </si>
  <si>
    <t>Medium</t>
  </si>
  <si>
    <t>Fixed Bugs</t>
  </si>
  <si>
    <t>TC-003</t>
  </si>
  <si>
    <t>Verify that user can't log in with invalid email</t>
  </si>
  <si>
    <t>1. Go to Login page
2. Enter Invalid email
3. Enter Valid password
4. Click Login</t>
  </si>
  <si>
    <t>1. Go to Login page 
2. Enter a valid new name and email in the "New User Signup!" section 
3. Click Signup button 
4. On the "Enter Account Information" page, enter a very short/weak password (e.g. "1") 
5. Fill in remaining required fields 
6. Click Create Account button</t>
  </si>
  <si>
    <t>User can't register and remains on the Login page with the following error message</t>
  </si>
  <si>
    <t xml:space="preserve">User has registered successfully and redirected to "Account Created"page </t>
  </si>
  <si>
    <t>TC-004</t>
  </si>
  <si>
    <t>Verify that user can't log in with empty email field</t>
  </si>
  <si>
    <t>1. Go to Login page
2. Leave email field empty
3. Enter Valid password
4. Click Login</t>
  </si>
  <si>
    <t>User is not logged in and remains on the Login page with the following validation message</t>
  </si>
  <si>
    <t xml:space="preserve">"User is not logged in and remains on the Login page. Browser shows a native validation tooltip 'Please fill out this field' on the empty email field, and the page also displays the message 'Your email or password is incorrect!' below the form."
</t>
  </si>
  <si>
    <t>TC-005</t>
  </si>
  <si>
    <t>Verify that user can't log in with empty password field</t>
  </si>
  <si>
    <t>1. Go to Login page
2. Leave password field empty
3. Enter Valid email
4. Click Login</t>
  </si>
  <si>
    <t>"User is not logged in and remains on the Login page. Browser shows a native validation tooltip 'Please fill out this field' on the empty password field, and the page also displays the message 'Your email or password is incorrect!' below the form."</t>
  </si>
  <si>
    <t>TC-006</t>
  </si>
  <si>
    <t xml:space="preserve">Verify that user can't log in with both fields empty </t>
  </si>
  <si>
    <t>1. Go to Login page
2. Leave email field empty
3. Leave password field empty
4. Click Login</t>
  </si>
  <si>
    <t>"User is not logged in and remains on the Login page. Browser shows a native validation tooltip 'Please fill out this field' on the empty email field."</t>
  </si>
  <si>
    <t>TC-007</t>
  </si>
  <si>
    <t>Verify that user can log in with leading whitespace (" userovic1@gmail.com") and a valid password</t>
  </si>
  <si>
    <t>1. Go to Login page
2. Enter a valid email with a leading whitespace
3. Enter a valid password
4. Click Login</t>
  </si>
  <si>
    <t xml:space="preserve">User is logged in successfully and redirected to Home page </t>
  </si>
  <si>
    <t>Verify that user can log in with valid uppercase email and a valid password</t>
  </si>
  <si>
    <t>1. Go to Login page
2. Enter a valid email with all uppercase letters
3. Enter a valid password
4. Click Login</t>
  </si>
  <si>
    <t>Fail</t>
  </si>
  <si>
    <t>TC-009</t>
  </si>
  <si>
    <t>Verify that login form is protected against SQL injection input in the email field</t>
  </si>
  <si>
    <t>1. Go to Login page
2. Enter ' OR '1'='1 in email field
3. Enter any password
4. Click Login</t>
  </si>
  <si>
    <t>Login is rejected normally, no SQL error, no bypass, no unusual behavior</t>
  </si>
  <si>
    <t>Browser shows native validation tooltip "Please include an '@' in the email address" — form is not submitted, and page also shows "Your email or password is incorrect!"</t>
  </si>
  <si>
    <t>TC-010</t>
  </si>
  <si>
    <t>Verify that user can't log in with extremely long string in the email field</t>
  </si>
  <si>
    <t>1. Go to Login page
2.Enter an extremely long email (500+ characters, e.g. "user1111...111@gmail.com") in the email field
3. Enter a valid password
4. Click Login</t>
  </si>
  <si>
    <t>User is not logged in and remains on the Login page with the following error message "Your email or password is incorrect!"</t>
  </si>
  <si>
    <t>TC-011</t>
  </si>
  <si>
    <t>Register</t>
  </si>
  <si>
    <t>Verify that user can register with valid username and email</t>
  </si>
  <si>
    <t>1. Go to Login page
2. Enter name and email in the "New User Signup!" section
3. Click Signup button
4. Fill in all required fields on the "Enter Account Information" page (password, address, etc.)
5. Click Create Account button</t>
  </si>
  <si>
    <t>User has registered successfully</t>
  </si>
  <si>
    <t>TC-012</t>
  </si>
  <si>
    <t>Verify that user can't register with email that already exists in the system</t>
  </si>
  <si>
    <t>1. Go to Login page
2. Enter new name in the "New User Signup!" section
3. Enter email that already exists in the system
4. Click Signup button</t>
  </si>
  <si>
    <t>User can't register and remains on the Login page with the following error message "Email Address already exist!"</t>
  </si>
  <si>
    <t>TC-013</t>
  </si>
  <si>
    <t>Verify that user can't register with invalid email</t>
  </si>
  <si>
    <t>1. Go to Login page 
2. Enter valid name in the "New User Signup!" section 
3. Enter email in invalid format (e.g. "userova1gmail.com", missing @) 
4. Click Signup button</t>
  </si>
  <si>
    <t>User remains on the Login page and browser shows native validation tooltip "Please include an '@' in the email address. 'userova1gmail.com' is missing an '@'." — form is not submitted</t>
  </si>
  <si>
    <t>TC-014</t>
  </si>
  <si>
    <t xml:space="preserve">Verify that user can't register with name and email fields empty </t>
  </si>
  <si>
    <t>1. Go to Login page 
2. Leave name field empty
3. Leave email field empty
4. Click Signup button</t>
  </si>
  <si>
    <t>User remains on the Login page and browser shows native validation tooltip "Please fill out this field."</t>
  </si>
  <si>
    <t>Verify that user can't register with very weak/small password</t>
  </si>
  <si>
    <t>1. Go to Login page
2. Enter a valid new name and email in the "New User Signup!" section
3. Click Signup button
4. On the "Enter Account Information" page, enter a very short/weak password (e.g. "1")
5. Fill in remaining required fields
6. Click Create Account button</t>
  </si>
  <si>
    <t>TC-016</t>
  </si>
  <si>
    <t>Search</t>
  </si>
  <si>
    <t>Verify user can search for an existing product</t>
  </si>
  <si>
    <t>1. Go to Products page 
2. Enter "dress" in the search field 
3. Click Search button</t>
  </si>
  <si>
    <t>Search results are displayed showing maching products</t>
  </si>
  <si>
    <t>9 products displayed matching "dress"</t>
  </si>
  <si>
    <t>TC-017</t>
  </si>
  <si>
    <t>Verify that search returns no results for a non-existent product</t>
  </si>
  <si>
    <t>1. Go to Products page 
2. Enter "1252oknfasfa" in the search field 
3. Click Search button</t>
  </si>
  <si>
    <t>No products are found and the results section shows and empty state</t>
  </si>
  <si>
    <t>"SEARCHED PRODUCTS" section displayed with no products listed</t>
  </si>
  <si>
    <t>TC-018</t>
  </si>
  <si>
    <t>Verify that empty search returns default products</t>
  </si>
  <si>
    <t>1. Go to Products page 
2. Leave the search field empty 
3. Click Search button</t>
  </si>
  <si>
    <t>All products are displayed (no filter applied) or a validation message appears</t>
  </si>
  <si>
    <t>All products are displayed in the same order as before, with no error or message</t>
  </si>
  <si>
    <t>TC-019</t>
  </si>
  <si>
    <t>Cart</t>
  </si>
  <si>
    <t>Verify that user can add a product to the cart</t>
  </si>
  <si>
    <t>1. Go to Product page
2. Scroll down to see first item in the list
3. Hover first item picture with mouse
4. Click on add to cart
5. Click on View cart</t>
  </si>
  <si>
    <t>Selected product is added to the cart successfully</t>
  </si>
  <si>
    <t>TC-020</t>
  </si>
  <si>
    <t>Verify that user can remove product from the cart</t>
  </si>
  <si>
    <t>1. Go to Product page
2. Scroll down to see first item in the list
3. Hover first item picture with mouse
4. Click on add to cart
5. Click on View cart button
6. Click on "X" button that is located on the right side of a product</t>
  </si>
  <si>
    <t>Selected product is removed from the cart successfully</t>
  </si>
  <si>
    <t>Selected product is removed from the cart successfully with an following message "Cart is empty!"</t>
  </si>
  <si>
    <t>TC-021</t>
  </si>
  <si>
    <t>Verify that user can update product quantity in the cart</t>
  </si>
  <si>
    <t>1. Go to Product page
2. Scroll down to see first item in the list
3. Click on View Product button
4. Hover quantity number field with a mouse
5. Click on upper button once to change quantity to "2"
6. Click on Add to cart button
7. Click on View cart button</t>
  </si>
  <si>
    <t>Selected product is added to the cart successfully and product quantity is 2</t>
  </si>
  <si>
    <t>TC-022</t>
  </si>
  <si>
    <t>Verify that cart total updates correctly</t>
  </si>
  <si>
    <t>Cart total price for the product equals unit price multiplied by quantity</t>
  </si>
  <si>
    <t>Unit price is [500], quantity is [2], and total price displayed is [500 × 2]</t>
  </si>
  <si>
    <t>TC-023</t>
  </si>
  <si>
    <t>Verify that product remains in cart after page refresh</t>
  </si>
  <si>
    <t>1. Go to Product page
2. Scroll down to see first item in the list
3. Hover first item picture with mouse
4. Click on add to cart button
5. Click on View cart button
6. Click on refresh button in the browser
7. Wait for the page to be refreshed</t>
  </si>
  <si>
    <t>Selected item remains in cart after page is refreshed</t>
  </si>
  <si>
    <t>TC-024</t>
  </si>
  <si>
    <t>Checkout</t>
  </si>
  <si>
    <t>Verify user can proceed to checkout with a product in the cart</t>
  </si>
  <si>
    <t>1. Go to Login page
2. Log in with valid credentials
3. Go to Product page
4. Scroll down to see first item in the list
5. Hover first item picture with mouse
6. Click on Add to cart button
7. Click on View cart button
8. Click on Proceed to checkout button</t>
  </si>
  <si>
    <t>User is redirected to the checkout page showing address details and order summary</t>
  </si>
  <si>
    <t>User is redirected to checkout page, address details (delivery and billing) are displayed, and order summary shows correct item, price, quantity, and total amount</t>
  </si>
  <si>
    <t>TC-025</t>
  </si>
  <si>
    <t xml:space="preserve">Verify that user can complete payment and confirm order </t>
  </si>
  <si>
    <t>1. On Checkout page, click Place Order button
2. Enter payment details (name on card, card number, CVC, expiry date) on Payment page
3. Click Pay and Confirm Order button</t>
  </si>
  <si>
    <t>Order is confirmed and success message is displayed</t>
  </si>
  <si>
    <t>User is redirected on "payment_done" page with following message  "Congratulations! Your order has been confirmed!"</t>
  </si>
  <si>
    <t>TC-026</t>
  </si>
  <si>
    <t xml:space="preserve">Verify that checkout requires user to be logged in </t>
  </si>
  <si>
    <t>1. Log out if logged in
2. Go to Product page
3. Add product to the cart
4. Click on View cart  button
5. Click Proceed To Checkout button</t>
  </si>
  <si>
    <t>User is prompted to register or log in before proceeding to checkout</t>
  </si>
  <si>
    <t>A "Checkout" modal appears with the message "Register / Login account to proceed on checkout", offering Register/Login or Continue On Cart options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</si>
</sst>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yyyy-mm-dd"/>
  </numFmts>
  <fonts count="7">
    <font>
      <sz val="11.0"/>
      <color theme="1"/>
      <name val="Calibri"/>
      <scheme val="minor"/>
    </font>
    <font>
      <b/>
      <sz val="14.0"/>
      <color rgb="FF1F4E78"/>
      <name val="Arial"/>
    </font>
    <font>
      <b/>
      <sz val="11.0"/>
      <color rgb="FFFFFFFF"/>
      <name val="Arial"/>
    </font>
    <font>
      <b/>
      <sz val="11.0"/>
      <color theme="1"/>
      <name val="Arial"/>
    </font>
    <font>
      <sz val="11.0"/>
      <color theme="1"/>
      <name val="Arial"/>
    </font>
    <font>
      <sz val="10.0"/>
      <color theme="1"/>
      <name val="Arial"/>
    </font>
    <font>
      <color theme="1"/>
      <name val="Calibri"/>
      <scheme val="minor"/>
    </font>
  </fonts>
  <fills count="5">
    <fill>
      <patternFill patternType="none"/>
    </fill>
    <fill>
      <patternFill patternType="lightGray"/>
    </fill>
    <fill>
      <patternFill patternType="solid">
        <fgColor rgb="FF1F4E78"/>
        <bgColor rgb="FF1F4E78"/>
      </patternFill>
    </fill>
    <fill>
      <patternFill patternType="solid">
        <fgColor rgb="FFFFF2CC"/>
        <bgColor rgb="FFFFF2CC"/>
      </patternFill>
    </fill>
    <fill>
      <patternFill patternType="solid">
        <fgColor rgb="FFC6E0B4"/>
        <bgColor rgb="FFC6E0B4"/>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shrinkToFit="0" vertical="bottom" wrapText="0"/>
    </xf>
    <xf borderId="1" fillId="2" fontId="2" numFmtId="0" xfId="0" applyAlignment="1" applyBorder="1" applyFill="1" applyFont="1">
      <alignment horizontal="center" shrinkToFit="0" vertical="center" wrapText="1"/>
    </xf>
    <xf borderId="1" fillId="0" fontId="3" numFmtId="0" xfId="0" applyAlignment="1" applyBorder="1" applyFont="1">
      <alignment shrinkToFit="0" vertical="bottom" wrapText="0"/>
    </xf>
    <xf borderId="1" fillId="0" fontId="4" numFmtId="0" xfId="0" applyAlignment="1" applyBorder="1" applyFont="1">
      <alignment shrinkToFit="0" vertical="bottom" wrapText="0"/>
    </xf>
    <xf borderId="1" fillId="3" fontId="5" numFmtId="0" xfId="0" applyAlignment="1" applyBorder="1" applyFill="1" applyFont="1">
      <alignment shrinkToFit="0" vertical="top" wrapText="0"/>
    </xf>
    <xf borderId="1" fillId="3" fontId="5" numFmtId="0" xfId="0" applyAlignment="1" applyBorder="1" applyFont="1">
      <alignment shrinkToFit="0" vertical="top" wrapText="1"/>
    </xf>
    <xf borderId="1" fillId="3" fontId="5" numFmtId="0" xfId="0" applyAlignment="1" applyBorder="1" applyFont="1">
      <alignment readingOrder="0" shrinkToFit="0" vertical="top" wrapText="0"/>
    </xf>
    <xf borderId="1" fillId="3" fontId="5" numFmtId="0" xfId="0" applyAlignment="1" applyBorder="1" applyFont="1">
      <alignment readingOrder="0" shrinkToFit="0" vertical="top" wrapText="1"/>
    </xf>
    <xf borderId="1" fillId="4" fontId="5" numFmtId="0" xfId="0" applyAlignment="1" applyBorder="1" applyFill="1" applyFont="1">
      <alignment shrinkToFit="0" vertical="top" wrapText="0"/>
    </xf>
    <xf borderId="1" fillId="0" fontId="4" numFmtId="164" xfId="0" applyAlignment="1" applyBorder="1" applyFont="1" applyNumberFormat="1">
      <alignment shrinkToFit="0" vertical="bottom" wrapText="0"/>
    </xf>
    <xf borderId="1" fillId="3" fontId="5" numFmtId="165" xfId="0" applyAlignment="1" applyBorder="1" applyFont="1" applyNumberFormat="1">
      <alignment readingOrder="0" shrinkToFit="0" vertical="top" wrapText="0"/>
    </xf>
    <xf borderId="1" fillId="0" fontId="5" numFmtId="0" xfId="0" applyAlignment="1" applyBorder="1" applyFont="1">
      <alignment readingOrder="0" shrinkToFit="0" vertical="top" wrapText="0"/>
    </xf>
    <xf borderId="0" fillId="3" fontId="6" numFmtId="0" xfId="0" applyAlignment="1" applyFont="1">
      <alignment readingOrder="0" vertical="top"/>
    </xf>
    <xf borderId="0" fillId="3" fontId="6" numFmtId="0" xfId="0" applyAlignment="1" applyFont="1">
      <alignment readingOrder="0" shrinkToFit="0" vertical="top" wrapText="1"/>
    </xf>
    <xf borderId="0" fillId="0" fontId="6" numFmtId="0" xfId="0" applyFont="1"/>
    <xf borderId="0" fillId="3" fontId="6" numFmtId="0" xfId="0" applyAlignment="1" applyFont="1">
      <alignment readingOrder="0" shrinkToFit="0" wrapText="1"/>
    </xf>
    <xf borderId="0" fillId="0" fontId="6" numFmtId="0" xfId="0" applyAlignment="1" applyFont="1">
      <alignment readingOrder="0" textRotation="0" vertical="top"/>
    </xf>
    <xf borderId="0" fillId="3" fontId="6" numFmtId="165" xfId="0" applyAlignment="1" applyFont="1" applyNumberFormat="1">
      <alignment readingOrder="0" vertical="top"/>
    </xf>
  </cellXfs>
  <cellStyles count="1">
    <cellStyle xfId="0" name="Normal" builtinId="0"/>
  </cellStyles>
  <dxfs count="2">
    <dxf>
      <font/>
      <fill>
        <patternFill patternType="solid">
          <fgColor rgb="FFC6E0B4"/>
          <bgColor rgb="FFC6E0B4"/>
        </patternFill>
      </fill>
      <border/>
    </dxf>
    <dxf>
      <font/>
      <fill>
        <patternFill patternType="solid">
          <fgColor rgb="FFF8CBAD"/>
          <bgColor rgb="FFF8CBA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4" width="30.0"/>
    <col customWidth="1" min="5" max="6" width="26.0"/>
    <col customWidth="1" min="7" max="7" width="10.0"/>
    <col customWidth="1" min="8" max="9" width="12.0"/>
    <col customWidth="1" min="10" max="26" width="8.71"/>
  </cols>
  <sheetData>
    <row r="1" ht="30.0" customHeight="1">
      <c r="A1" s="2" t="s">
        <v>1</v>
      </c>
      <c r="B1" s="2" t="s">
        <v>4</v>
      </c>
      <c r="C1" s="2" t="s">
        <v>5</v>
      </c>
      <c r="D1" s="2" t="s">
        <v>7</v>
      </c>
      <c r="E1" s="2" t="s">
        <v>9</v>
      </c>
      <c r="F1" s="2" t="s">
        <v>11</v>
      </c>
      <c r="G1" s="2" t="s">
        <v>13</v>
      </c>
      <c r="H1" s="2" t="s">
        <v>14</v>
      </c>
      <c r="I1" s="2" t="s">
        <v>15</v>
      </c>
    </row>
    <row r="2">
      <c r="A2" s="5" t="s">
        <v>18</v>
      </c>
      <c r="B2" s="5" t="s">
        <v>21</v>
      </c>
      <c r="C2" s="6" t="s">
        <v>23</v>
      </c>
      <c r="D2" s="6" t="s">
        <v>26</v>
      </c>
      <c r="E2" s="8" t="s">
        <v>27</v>
      </c>
      <c r="F2" s="8" t="s">
        <v>27</v>
      </c>
      <c r="G2" s="9" t="s">
        <v>31</v>
      </c>
      <c r="H2" s="5" t="s">
        <v>32</v>
      </c>
      <c r="I2" s="5" t="s">
        <v>34</v>
      </c>
    </row>
    <row r="3">
      <c r="A3" s="7" t="s">
        <v>36</v>
      </c>
      <c r="B3" s="7" t="s">
        <v>21</v>
      </c>
      <c r="C3" s="8" t="s">
        <v>40</v>
      </c>
      <c r="D3" s="8" t="s">
        <v>41</v>
      </c>
      <c r="E3" s="8" t="s">
        <v>42</v>
      </c>
      <c r="F3" s="8" t="s">
        <v>43</v>
      </c>
      <c r="G3" s="12" t="s">
        <v>31</v>
      </c>
      <c r="H3" s="11">
        <v>46247.0</v>
      </c>
      <c r="I3" s="7" t="s">
        <v>34</v>
      </c>
    </row>
    <row r="4">
      <c r="A4" s="7" t="s">
        <v>50</v>
      </c>
      <c r="B4" s="7" t="s">
        <v>21</v>
      </c>
      <c r="C4" s="8" t="s">
        <v>51</v>
      </c>
      <c r="D4" s="8" t="s">
        <v>52</v>
      </c>
      <c r="E4" s="8" t="s">
        <v>42</v>
      </c>
      <c r="F4" s="8" t="s">
        <v>43</v>
      </c>
      <c r="G4" s="12" t="s">
        <v>31</v>
      </c>
      <c r="H4" s="11">
        <v>46247.0</v>
      </c>
      <c r="I4" s="7" t="s">
        <v>34</v>
      </c>
    </row>
    <row r="5">
      <c r="A5" s="7" t="s">
        <v>56</v>
      </c>
      <c r="B5" s="7" t="s">
        <v>21</v>
      </c>
      <c r="C5" s="8" t="s">
        <v>57</v>
      </c>
      <c r="D5" s="8" t="s">
        <v>58</v>
      </c>
      <c r="E5" s="8" t="s">
        <v>59</v>
      </c>
      <c r="F5" s="8" t="s">
        <v>60</v>
      </c>
      <c r="G5" s="12" t="s">
        <v>31</v>
      </c>
      <c r="H5" s="11">
        <v>46247.0</v>
      </c>
      <c r="I5" s="7" t="s">
        <v>34</v>
      </c>
    </row>
    <row r="6">
      <c r="A6" s="7" t="s">
        <v>61</v>
      </c>
      <c r="B6" s="7" t="s">
        <v>21</v>
      </c>
      <c r="C6" s="8" t="s">
        <v>62</v>
      </c>
      <c r="D6" s="13" t="s">
        <v>63</v>
      </c>
      <c r="E6" s="8" t="s">
        <v>59</v>
      </c>
      <c r="F6" s="8" t="s">
        <v>64</v>
      </c>
      <c r="G6" s="12" t="s">
        <v>31</v>
      </c>
      <c r="H6" s="11">
        <v>46247.0</v>
      </c>
      <c r="I6" s="7" t="s">
        <v>34</v>
      </c>
    </row>
    <row r="7">
      <c r="A7" s="7" t="s">
        <v>65</v>
      </c>
      <c r="B7" s="7" t="s">
        <v>21</v>
      </c>
      <c r="C7" s="8" t="s">
        <v>66</v>
      </c>
      <c r="D7" s="8" t="s">
        <v>67</v>
      </c>
      <c r="E7" s="8" t="s">
        <v>59</v>
      </c>
      <c r="F7" s="8" t="s">
        <v>68</v>
      </c>
      <c r="G7" s="12" t="s">
        <v>31</v>
      </c>
      <c r="H7" s="11">
        <v>46248.0</v>
      </c>
      <c r="I7" s="7" t="s">
        <v>34</v>
      </c>
    </row>
    <row r="8">
      <c r="A8" s="7" t="s">
        <v>69</v>
      </c>
      <c r="B8" s="7" t="s">
        <v>21</v>
      </c>
      <c r="C8" s="8" t="s">
        <v>70</v>
      </c>
      <c r="D8" s="8" t="s">
        <v>71</v>
      </c>
      <c r="E8" s="8" t="s">
        <v>35</v>
      </c>
      <c r="F8" s="8" t="s">
        <v>72</v>
      </c>
      <c r="G8" s="12" t="s">
        <v>31</v>
      </c>
      <c r="H8" s="11">
        <v>46248.0</v>
      </c>
      <c r="I8" s="7" t="s">
        <v>34</v>
      </c>
    </row>
    <row r="9">
      <c r="A9" s="7" t="s">
        <v>24</v>
      </c>
      <c r="B9" s="7" t="s">
        <v>21</v>
      </c>
      <c r="C9" s="8" t="s">
        <v>73</v>
      </c>
      <c r="D9" s="8" t="s">
        <v>74</v>
      </c>
      <c r="E9" s="8" t="s">
        <v>35</v>
      </c>
      <c r="F9" s="8" t="s">
        <v>37</v>
      </c>
      <c r="G9" s="12" t="s">
        <v>75</v>
      </c>
      <c r="H9" s="11">
        <v>46248.0</v>
      </c>
      <c r="I9" s="7" t="s">
        <v>34</v>
      </c>
    </row>
    <row r="10">
      <c r="A10" s="7" t="s">
        <v>76</v>
      </c>
      <c r="B10" s="7" t="s">
        <v>21</v>
      </c>
      <c r="C10" s="8" t="s">
        <v>77</v>
      </c>
      <c r="D10" s="8" t="s">
        <v>78</v>
      </c>
      <c r="E10" s="8" t="s">
        <v>79</v>
      </c>
      <c r="F10" s="8" t="s">
        <v>80</v>
      </c>
      <c r="G10" s="12" t="s">
        <v>31</v>
      </c>
      <c r="H10" s="11">
        <v>46248.0</v>
      </c>
      <c r="I10" s="7" t="s">
        <v>34</v>
      </c>
    </row>
    <row r="11">
      <c r="A11" s="7" t="s">
        <v>81</v>
      </c>
      <c r="B11" s="7" t="s">
        <v>21</v>
      </c>
      <c r="C11" s="8" t="s">
        <v>82</v>
      </c>
      <c r="D11" s="8" t="s">
        <v>83</v>
      </c>
      <c r="E11" s="8" t="s">
        <v>42</v>
      </c>
      <c r="F11" s="8" t="s">
        <v>84</v>
      </c>
      <c r="G11" s="12" t="s">
        <v>31</v>
      </c>
      <c r="H11" s="11">
        <v>46248.0</v>
      </c>
      <c r="I11" s="7" t="s">
        <v>34</v>
      </c>
    </row>
    <row r="12">
      <c r="A12" s="7" t="s">
        <v>85</v>
      </c>
      <c r="B12" s="7" t="s">
        <v>86</v>
      </c>
      <c r="C12" s="8" t="s">
        <v>87</v>
      </c>
      <c r="D12" s="8" t="s">
        <v>88</v>
      </c>
      <c r="E12" s="8" t="s">
        <v>89</v>
      </c>
      <c r="F12" s="8" t="s">
        <v>55</v>
      </c>
      <c r="G12" s="12" t="s">
        <v>31</v>
      </c>
      <c r="H12" s="11">
        <v>46248.0</v>
      </c>
      <c r="I12" s="7" t="s">
        <v>34</v>
      </c>
    </row>
    <row r="13">
      <c r="A13" s="7" t="s">
        <v>90</v>
      </c>
      <c r="B13" s="7" t="s">
        <v>86</v>
      </c>
      <c r="C13" s="8" t="s">
        <v>91</v>
      </c>
      <c r="D13" s="8" t="s">
        <v>92</v>
      </c>
      <c r="E13" s="8" t="s">
        <v>54</v>
      </c>
      <c r="F13" s="8" t="s">
        <v>93</v>
      </c>
      <c r="G13" s="12" t="s">
        <v>31</v>
      </c>
      <c r="H13" s="11">
        <v>46248.0</v>
      </c>
      <c r="I13" s="7" t="s">
        <v>34</v>
      </c>
    </row>
    <row r="14">
      <c r="A14" s="7" t="s">
        <v>94</v>
      </c>
      <c r="B14" s="7" t="s">
        <v>86</v>
      </c>
      <c r="C14" s="8" t="s">
        <v>95</v>
      </c>
      <c r="D14" s="8" t="s">
        <v>96</v>
      </c>
      <c r="E14" s="8" t="s">
        <v>54</v>
      </c>
      <c r="F14" s="8" t="s">
        <v>97</v>
      </c>
      <c r="G14" s="12" t="s">
        <v>31</v>
      </c>
      <c r="H14" s="11">
        <v>46248.0</v>
      </c>
      <c r="I14" s="7" t="s">
        <v>34</v>
      </c>
    </row>
    <row r="15">
      <c r="A15" s="7" t="s">
        <v>98</v>
      </c>
      <c r="B15" s="7" t="s">
        <v>86</v>
      </c>
      <c r="C15" s="8" t="s">
        <v>99</v>
      </c>
      <c r="D15" s="8" t="s">
        <v>100</v>
      </c>
      <c r="E15" s="8" t="s">
        <v>54</v>
      </c>
      <c r="F15" s="8" t="s">
        <v>101</v>
      </c>
      <c r="G15" s="12" t="s">
        <v>31</v>
      </c>
      <c r="H15" s="11">
        <v>46248.0</v>
      </c>
      <c r="I15" s="7" t="s">
        <v>34</v>
      </c>
    </row>
    <row r="16">
      <c r="A16" s="7" t="s">
        <v>46</v>
      </c>
      <c r="B16" s="7" t="s">
        <v>86</v>
      </c>
      <c r="C16" s="8" t="s">
        <v>102</v>
      </c>
      <c r="D16" s="8" t="s">
        <v>103</v>
      </c>
      <c r="E16" s="8" t="s">
        <v>54</v>
      </c>
      <c r="F16" s="8" t="s">
        <v>55</v>
      </c>
      <c r="G16" s="12" t="s">
        <v>75</v>
      </c>
      <c r="H16" s="11">
        <v>46248.0</v>
      </c>
      <c r="I16" s="7" t="s">
        <v>34</v>
      </c>
    </row>
    <row r="17">
      <c r="A17" s="7" t="s">
        <v>104</v>
      </c>
      <c r="B17" s="7" t="s">
        <v>105</v>
      </c>
      <c r="C17" s="8" t="s">
        <v>106</v>
      </c>
      <c r="D17" s="8" t="s">
        <v>107</v>
      </c>
      <c r="E17" s="8" t="s">
        <v>108</v>
      </c>
      <c r="F17" s="8" t="s">
        <v>109</v>
      </c>
      <c r="G17" s="12" t="s">
        <v>31</v>
      </c>
      <c r="H17" s="11">
        <v>46248.0</v>
      </c>
      <c r="I17" s="7" t="s">
        <v>34</v>
      </c>
    </row>
    <row r="18">
      <c r="A18" s="7" t="s">
        <v>110</v>
      </c>
      <c r="B18" s="7" t="s">
        <v>105</v>
      </c>
      <c r="C18" s="8" t="s">
        <v>111</v>
      </c>
      <c r="D18" s="8" t="s">
        <v>112</v>
      </c>
      <c r="E18" s="8" t="s">
        <v>113</v>
      </c>
      <c r="F18" s="8" t="s">
        <v>114</v>
      </c>
      <c r="G18" s="12" t="s">
        <v>31</v>
      </c>
      <c r="H18" s="11">
        <v>46248.0</v>
      </c>
      <c r="I18" s="7" t="s">
        <v>34</v>
      </c>
    </row>
    <row r="19">
      <c r="A19" s="7" t="s">
        <v>115</v>
      </c>
      <c r="B19" s="7" t="s">
        <v>105</v>
      </c>
      <c r="C19" s="8" t="s">
        <v>116</v>
      </c>
      <c r="D19" s="8" t="s">
        <v>117</v>
      </c>
      <c r="E19" s="8" t="s">
        <v>118</v>
      </c>
      <c r="F19" s="8" t="s">
        <v>119</v>
      </c>
      <c r="G19" s="12" t="s">
        <v>31</v>
      </c>
      <c r="H19" s="11">
        <v>46248.0</v>
      </c>
      <c r="I19" s="7" t="s">
        <v>34</v>
      </c>
    </row>
    <row r="20">
      <c r="A20" s="7" t="s">
        <v>120</v>
      </c>
      <c r="B20" s="7" t="s">
        <v>121</v>
      </c>
      <c r="C20" s="8" t="s">
        <v>122</v>
      </c>
      <c r="D20" s="8" t="s">
        <v>123</v>
      </c>
      <c r="E20" s="8" t="s">
        <v>124</v>
      </c>
      <c r="F20" s="8" t="s">
        <v>124</v>
      </c>
      <c r="G20" s="12" t="s">
        <v>31</v>
      </c>
      <c r="H20" s="11">
        <v>46248.0</v>
      </c>
      <c r="I20" s="7" t="s">
        <v>34</v>
      </c>
    </row>
    <row r="21" ht="15.75" customHeight="1">
      <c r="A21" s="7" t="s">
        <v>125</v>
      </c>
      <c r="B21" s="7" t="s">
        <v>121</v>
      </c>
      <c r="C21" s="8" t="s">
        <v>126</v>
      </c>
      <c r="D21" s="8" t="s">
        <v>127</v>
      </c>
      <c r="E21" s="8" t="s">
        <v>128</v>
      </c>
      <c r="F21" s="8" t="s">
        <v>129</v>
      </c>
      <c r="G21" s="12" t="s">
        <v>31</v>
      </c>
      <c r="H21" s="11">
        <v>46248.0</v>
      </c>
      <c r="I21" s="7" t="s">
        <v>34</v>
      </c>
    </row>
    <row r="22" ht="15.75" customHeight="1">
      <c r="A22" s="7" t="s">
        <v>130</v>
      </c>
      <c r="B22" s="7" t="s">
        <v>121</v>
      </c>
      <c r="C22" s="8" t="s">
        <v>131</v>
      </c>
      <c r="D22" s="8" t="s">
        <v>132</v>
      </c>
      <c r="E22" s="8" t="s">
        <v>133</v>
      </c>
      <c r="F22" s="8" t="s">
        <v>133</v>
      </c>
      <c r="G22" s="12" t="s">
        <v>31</v>
      </c>
      <c r="H22" s="11">
        <v>46248.0</v>
      </c>
      <c r="I22" s="7" t="s">
        <v>34</v>
      </c>
    </row>
    <row r="23" ht="15.75" customHeight="1">
      <c r="A23" s="7" t="s">
        <v>134</v>
      </c>
      <c r="B23" s="7" t="s">
        <v>121</v>
      </c>
      <c r="C23" s="8" t="s">
        <v>135</v>
      </c>
      <c r="D23" s="8" t="s">
        <v>132</v>
      </c>
      <c r="E23" s="8" t="s">
        <v>136</v>
      </c>
      <c r="F23" s="8" t="s">
        <v>137</v>
      </c>
      <c r="G23" s="12" t="s">
        <v>31</v>
      </c>
      <c r="H23" s="11">
        <v>46248.0</v>
      </c>
      <c r="I23" s="7" t="s">
        <v>34</v>
      </c>
    </row>
    <row r="24" ht="15.75" customHeight="1">
      <c r="A24" s="7" t="s">
        <v>138</v>
      </c>
      <c r="B24" s="7" t="s">
        <v>121</v>
      </c>
      <c r="C24" s="8" t="s">
        <v>139</v>
      </c>
      <c r="D24" s="8" t="s">
        <v>140</v>
      </c>
      <c r="E24" s="8" t="s">
        <v>141</v>
      </c>
      <c r="F24" s="8" t="s">
        <v>141</v>
      </c>
      <c r="G24" s="12" t="s">
        <v>31</v>
      </c>
      <c r="H24" s="11">
        <v>46248.0</v>
      </c>
      <c r="I24" s="7" t="s">
        <v>34</v>
      </c>
    </row>
    <row r="25" ht="15.75" customHeight="1">
      <c r="A25" s="7" t="s">
        <v>142</v>
      </c>
      <c r="B25" s="7" t="s">
        <v>143</v>
      </c>
      <c r="C25" s="14" t="s">
        <v>144</v>
      </c>
      <c r="D25" s="8" t="s">
        <v>145</v>
      </c>
      <c r="E25" s="8" t="s">
        <v>146</v>
      </c>
      <c r="F25" s="8" t="s">
        <v>147</v>
      </c>
      <c r="G25" s="12" t="s">
        <v>31</v>
      </c>
      <c r="H25" s="11">
        <v>46248.0</v>
      </c>
      <c r="I25" s="7" t="s">
        <v>34</v>
      </c>
    </row>
    <row r="26" ht="15.75" customHeight="1">
      <c r="A26" s="7" t="s">
        <v>148</v>
      </c>
      <c r="B26" s="7" t="s">
        <v>143</v>
      </c>
      <c r="C26" s="8" t="s">
        <v>149</v>
      </c>
      <c r="D26" s="8" t="s">
        <v>150</v>
      </c>
      <c r="E26" s="8" t="s">
        <v>151</v>
      </c>
      <c r="F26" s="8" t="s">
        <v>152</v>
      </c>
      <c r="G26" s="12" t="s">
        <v>31</v>
      </c>
      <c r="H26" s="11">
        <v>46248.0</v>
      </c>
      <c r="I26" s="7" t="s">
        <v>34</v>
      </c>
    </row>
    <row r="27" ht="15.75" customHeight="1">
      <c r="A27" s="13" t="s">
        <v>153</v>
      </c>
      <c r="B27" s="13" t="s">
        <v>143</v>
      </c>
      <c r="C27" s="14" t="s">
        <v>154</v>
      </c>
      <c r="D27" s="14" t="s">
        <v>155</v>
      </c>
      <c r="E27" s="14" t="s">
        <v>156</v>
      </c>
      <c r="F27" s="16" t="s">
        <v>157</v>
      </c>
      <c r="G27" s="17" t="s">
        <v>31</v>
      </c>
      <c r="H27" s="18">
        <v>46248.0</v>
      </c>
      <c r="I27" s="13" t="s">
        <v>34</v>
      </c>
    </row>
    <row r="28" ht="15.75" customHeight="1">
      <c r="G28" s="15"/>
    </row>
    <row r="29" ht="15.75" customHeight="1">
      <c r="G29" s="15"/>
    </row>
    <row r="30" ht="15.75" customHeight="1">
      <c r="G30" s="15"/>
    </row>
    <row r="31" ht="15.75" customHeight="1">
      <c r="G31" s="15"/>
    </row>
    <row r="32" ht="15.75" customHeight="1">
      <c r="G32" s="15"/>
    </row>
    <row r="33" ht="15.75" customHeight="1">
      <c r="G33" s="15"/>
    </row>
    <row r="34" ht="15.75" customHeight="1">
      <c r="G34" s="15"/>
    </row>
    <row r="35" ht="15.75" customHeight="1">
      <c r="G35" s="15"/>
    </row>
    <row r="36" ht="15.75" customHeight="1">
      <c r="G36" s="15"/>
    </row>
    <row r="37" ht="15.75" customHeight="1">
      <c r="G37" s="15"/>
    </row>
    <row r="38" ht="15.75" customHeight="1">
      <c r="G38" s="15"/>
    </row>
    <row r="39" ht="15.75" customHeight="1">
      <c r="G39" s="15"/>
    </row>
    <row r="40" ht="15.75" customHeight="1">
      <c r="G40" s="15"/>
    </row>
    <row r="41" ht="15.75" customHeight="1">
      <c r="G41" s="15"/>
    </row>
    <row r="42" ht="15.75" customHeight="1">
      <c r="G42" s="15"/>
    </row>
    <row r="43" ht="15.75" customHeight="1">
      <c r="G43" s="15"/>
    </row>
    <row r="44" ht="15.75" customHeight="1">
      <c r="G44" s="15"/>
    </row>
    <row r="45" ht="15.75" customHeight="1">
      <c r="G45" s="15"/>
    </row>
    <row r="46" ht="15.75" customHeight="1">
      <c r="G46" s="15"/>
    </row>
    <row r="47" ht="15.75" customHeight="1">
      <c r="G47" s="15"/>
    </row>
    <row r="48" ht="15.75" customHeight="1">
      <c r="G48" s="15"/>
    </row>
    <row r="49" ht="15.75" customHeight="1">
      <c r="G49" s="15"/>
    </row>
    <row r="50" ht="15.75" customHeight="1">
      <c r="G50" s="15"/>
    </row>
    <row r="51" ht="15.75" customHeight="1">
      <c r="G51" s="15"/>
    </row>
    <row r="52" ht="15.75" customHeight="1">
      <c r="G52" s="15"/>
    </row>
    <row r="53" ht="15.75" customHeight="1">
      <c r="G53" s="15"/>
    </row>
    <row r="54" ht="15.75" customHeight="1">
      <c r="G54" s="15"/>
    </row>
    <row r="55" ht="15.75" customHeight="1">
      <c r="G55" s="15"/>
    </row>
    <row r="56" ht="15.75" customHeight="1">
      <c r="G56" s="15"/>
    </row>
    <row r="57" ht="15.75" customHeight="1">
      <c r="G57" s="15"/>
    </row>
    <row r="58" ht="15.75" customHeight="1">
      <c r="G58" s="15"/>
    </row>
    <row r="59" ht="15.75" customHeight="1">
      <c r="G59" s="15"/>
    </row>
    <row r="60" ht="15.75" customHeight="1">
      <c r="G60" s="15"/>
    </row>
    <row r="61" ht="15.75" customHeight="1">
      <c r="G61" s="15"/>
    </row>
    <row r="62" ht="15.75" customHeight="1">
      <c r="G62" s="15"/>
    </row>
    <row r="63" ht="15.75" customHeight="1">
      <c r="G63" s="15"/>
    </row>
    <row r="64" ht="15.75" customHeight="1">
      <c r="G64" s="15"/>
    </row>
    <row r="65" ht="15.75" customHeight="1">
      <c r="G65" s="15"/>
    </row>
    <row r="66" ht="15.75" customHeight="1">
      <c r="G66" s="15"/>
    </row>
    <row r="67" ht="15.75" customHeight="1">
      <c r="G67" s="15"/>
    </row>
    <row r="68" ht="15.75" customHeight="1">
      <c r="G68" s="15"/>
    </row>
    <row r="69" ht="15.75" customHeight="1">
      <c r="G69" s="15"/>
    </row>
    <row r="70" ht="15.75" customHeight="1">
      <c r="G70" s="15"/>
    </row>
    <row r="71" ht="15.75" customHeight="1">
      <c r="G71" s="15"/>
    </row>
    <row r="72" ht="15.75" customHeight="1">
      <c r="G72" s="15"/>
    </row>
    <row r="73" ht="15.75" customHeight="1">
      <c r="G73" s="15"/>
    </row>
    <row r="74" ht="15.75" customHeight="1">
      <c r="G74" s="15"/>
    </row>
    <row r="75" ht="15.75" customHeight="1">
      <c r="G75" s="15"/>
    </row>
    <row r="76" ht="15.75" customHeight="1">
      <c r="G76" s="15"/>
    </row>
    <row r="77" ht="15.75" customHeight="1">
      <c r="G77" s="15"/>
    </row>
    <row r="78" ht="15.75" customHeight="1">
      <c r="G78" s="15"/>
    </row>
    <row r="79" ht="15.75" customHeight="1">
      <c r="G79" s="15"/>
    </row>
    <row r="80" ht="15.75" customHeight="1">
      <c r="G80" s="15"/>
    </row>
    <row r="81" ht="15.75" customHeight="1">
      <c r="G81" s="15"/>
    </row>
    <row r="82" ht="15.75" customHeight="1">
      <c r="G82" s="15"/>
    </row>
    <row r="83" ht="15.75" customHeight="1">
      <c r="G83" s="15"/>
    </row>
    <row r="84" ht="15.75" customHeight="1">
      <c r="G84" s="15"/>
    </row>
    <row r="85" ht="15.75" customHeight="1">
      <c r="G85" s="15"/>
    </row>
    <row r="86" ht="15.75" customHeight="1">
      <c r="G86" s="15"/>
    </row>
    <row r="87" ht="15.75" customHeight="1">
      <c r="G87" s="15"/>
    </row>
    <row r="88" ht="15.75" customHeight="1">
      <c r="G88" s="15"/>
    </row>
    <row r="89" ht="15.75" customHeight="1">
      <c r="G89" s="15"/>
    </row>
    <row r="90" ht="15.75" customHeight="1">
      <c r="G90" s="15"/>
    </row>
    <row r="91" ht="15.75" customHeight="1">
      <c r="G91" s="15"/>
    </row>
    <row r="92" ht="15.75" customHeight="1">
      <c r="G92" s="15"/>
    </row>
    <row r="93" ht="15.75" customHeight="1">
      <c r="G93" s="15"/>
    </row>
    <row r="94" ht="15.75" customHeight="1">
      <c r="G94" s="15"/>
    </row>
    <row r="95" ht="15.75" customHeight="1">
      <c r="G95" s="15"/>
    </row>
    <row r="96" ht="15.75" customHeight="1">
      <c r="G96" s="15"/>
    </row>
    <row r="97" ht="15.75" customHeight="1">
      <c r="G97" s="15"/>
    </row>
    <row r="98" ht="15.75" customHeight="1">
      <c r="G98" s="15"/>
    </row>
    <row r="99" ht="15.75" customHeight="1">
      <c r="G99" s="15"/>
    </row>
    <row r="100" ht="15.75" customHeight="1">
      <c r="G100" s="15"/>
    </row>
    <row r="101" ht="15.75" customHeight="1">
      <c r="G101" s="15"/>
    </row>
    <row r="102" ht="15.75" customHeight="1">
      <c r="G102" s="15"/>
    </row>
    <row r="103" ht="15.75" customHeight="1">
      <c r="G103" s="15"/>
    </row>
    <row r="104" ht="15.75" customHeight="1">
      <c r="G104" s="15"/>
    </row>
    <row r="105" ht="15.75" customHeight="1">
      <c r="G105" s="15"/>
    </row>
    <row r="106" ht="15.75" customHeight="1">
      <c r="G106" s="15"/>
    </row>
    <row r="107" ht="15.75" customHeight="1">
      <c r="G107" s="15"/>
    </row>
    <row r="108" ht="15.75" customHeight="1">
      <c r="G108" s="15"/>
    </row>
    <row r="109" ht="15.75" customHeight="1">
      <c r="G109" s="15"/>
    </row>
    <row r="110" ht="15.75" customHeight="1">
      <c r="G110" s="15"/>
    </row>
    <row r="111" ht="15.75" customHeight="1">
      <c r="G111" s="15"/>
    </row>
    <row r="112" ht="15.75" customHeight="1">
      <c r="G112" s="15"/>
    </row>
    <row r="113" ht="15.75" customHeight="1">
      <c r="G113" s="15"/>
    </row>
    <row r="114" ht="15.75" customHeight="1">
      <c r="G114" s="15"/>
    </row>
    <row r="115" ht="15.75" customHeight="1">
      <c r="G115" s="15"/>
    </row>
    <row r="116" ht="15.75" customHeight="1">
      <c r="G116" s="15"/>
    </row>
    <row r="117" ht="15.75" customHeight="1">
      <c r="G117" s="15"/>
    </row>
    <row r="118" ht="15.75" customHeight="1">
      <c r="G118" s="15"/>
    </row>
    <row r="119" ht="15.75" customHeight="1">
      <c r="G119" s="15"/>
    </row>
    <row r="120" ht="15.75" customHeight="1">
      <c r="G120" s="15"/>
    </row>
    <row r="121" ht="15.75" customHeight="1">
      <c r="G121" s="15"/>
    </row>
    <row r="122" ht="15.75" customHeight="1">
      <c r="G122" s="15"/>
    </row>
    <row r="123" ht="15.75" customHeight="1">
      <c r="G123" s="15"/>
    </row>
    <row r="124" ht="15.75" customHeight="1">
      <c r="G124" s="15"/>
    </row>
    <row r="125" ht="15.75" customHeight="1">
      <c r="G125" s="15"/>
    </row>
    <row r="126" ht="15.75" customHeight="1">
      <c r="G126" s="15"/>
    </row>
    <row r="127" ht="15.75" customHeight="1">
      <c r="G127" s="15"/>
    </row>
    <row r="128" ht="15.75" customHeight="1">
      <c r="G128" s="15"/>
    </row>
    <row r="129" ht="15.75" customHeight="1">
      <c r="G129" s="15"/>
    </row>
    <row r="130" ht="15.75" customHeight="1">
      <c r="G130" s="15"/>
    </row>
    <row r="131" ht="15.75" customHeight="1">
      <c r="G131" s="15"/>
    </row>
    <row r="132" ht="15.75" customHeight="1">
      <c r="G132" s="15"/>
    </row>
    <row r="133" ht="15.75" customHeight="1">
      <c r="G133" s="15"/>
    </row>
    <row r="134" ht="15.75" customHeight="1">
      <c r="G134" s="15"/>
    </row>
    <row r="135" ht="15.75" customHeight="1">
      <c r="G135" s="15"/>
    </row>
    <row r="136" ht="15.75" customHeight="1">
      <c r="G136" s="15"/>
    </row>
    <row r="137" ht="15.75" customHeight="1">
      <c r="G137" s="15"/>
    </row>
    <row r="138" ht="15.75" customHeight="1">
      <c r="G138" s="15"/>
    </row>
    <row r="139" ht="15.75" customHeight="1">
      <c r="G139" s="15"/>
    </row>
    <row r="140" ht="15.75" customHeight="1">
      <c r="G140" s="15"/>
    </row>
    <row r="141" ht="15.75" customHeight="1">
      <c r="G141" s="15"/>
    </row>
    <row r="142" ht="15.75" customHeight="1">
      <c r="G142" s="15"/>
    </row>
    <row r="143" ht="15.75" customHeight="1">
      <c r="G143" s="15"/>
    </row>
    <row r="144" ht="15.75" customHeight="1">
      <c r="G144" s="15"/>
    </row>
    <row r="145" ht="15.75" customHeight="1">
      <c r="G145" s="15"/>
    </row>
    <row r="146" ht="15.75" customHeight="1">
      <c r="G146" s="15"/>
    </row>
    <row r="147" ht="15.75" customHeight="1">
      <c r="G147" s="15"/>
    </row>
    <row r="148" ht="15.75" customHeight="1">
      <c r="G148" s="15"/>
    </row>
    <row r="149" ht="15.75" customHeight="1">
      <c r="G149" s="15"/>
    </row>
    <row r="150" ht="15.75" customHeight="1">
      <c r="G150" s="15"/>
    </row>
    <row r="151" ht="15.75" customHeight="1">
      <c r="G151" s="15"/>
    </row>
    <row r="152" ht="15.75" customHeight="1">
      <c r="G152" s="15"/>
    </row>
    <row r="153" ht="15.75" customHeight="1">
      <c r="G153" s="15"/>
    </row>
    <row r="154" ht="15.75" customHeight="1">
      <c r="G154" s="15"/>
    </row>
    <row r="155" ht="15.75" customHeight="1">
      <c r="G155" s="15"/>
    </row>
    <row r="156" ht="15.75" customHeight="1">
      <c r="G156" s="15"/>
    </row>
    <row r="157" ht="15.75" customHeight="1">
      <c r="G157" s="15"/>
    </row>
    <row r="158" ht="15.75" customHeight="1">
      <c r="G158" s="15"/>
    </row>
    <row r="159" ht="15.75" customHeight="1">
      <c r="G159" s="15"/>
    </row>
    <row r="160" ht="15.75" customHeight="1">
      <c r="G160" s="15"/>
    </row>
    <row r="161" ht="15.75" customHeight="1">
      <c r="G161" s="15"/>
    </row>
    <row r="162" ht="15.75" customHeight="1">
      <c r="G162" s="15"/>
    </row>
    <row r="163" ht="15.75" customHeight="1">
      <c r="G163" s="15"/>
    </row>
    <row r="164" ht="15.75" customHeight="1">
      <c r="G164" s="15"/>
    </row>
    <row r="165" ht="15.75" customHeight="1">
      <c r="G165" s="15"/>
    </row>
    <row r="166" ht="15.75" customHeight="1">
      <c r="G166" s="15"/>
    </row>
    <row r="167" ht="15.75" customHeight="1">
      <c r="G167" s="15"/>
    </row>
    <row r="168" ht="15.75" customHeight="1">
      <c r="G168" s="15"/>
    </row>
    <row r="169" ht="15.75" customHeight="1">
      <c r="G169" s="15"/>
    </row>
    <row r="170" ht="15.75" customHeight="1">
      <c r="G170" s="15"/>
    </row>
    <row r="171" ht="15.75" customHeight="1">
      <c r="G171" s="15"/>
    </row>
    <row r="172" ht="15.75" customHeight="1">
      <c r="G172" s="15"/>
    </row>
    <row r="173" ht="15.75" customHeight="1">
      <c r="G173" s="15"/>
    </row>
    <row r="174" ht="15.75" customHeight="1">
      <c r="G174" s="15"/>
    </row>
    <row r="175" ht="15.75" customHeight="1">
      <c r="G175" s="15"/>
    </row>
    <row r="176" ht="15.75" customHeight="1">
      <c r="G176" s="15"/>
    </row>
    <row r="177" ht="15.75" customHeight="1">
      <c r="G177" s="15"/>
    </row>
    <row r="178" ht="15.75" customHeight="1">
      <c r="G178" s="15"/>
    </row>
    <row r="179" ht="15.75" customHeight="1">
      <c r="G179" s="15"/>
    </row>
    <row r="180" ht="15.75" customHeight="1">
      <c r="G180" s="15"/>
    </row>
    <row r="181" ht="15.75" customHeight="1">
      <c r="G181" s="15"/>
    </row>
    <row r="182" ht="15.75" customHeight="1">
      <c r="G182" s="15"/>
    </row>
    <row r="183" ht="15.75" customHeight="1">
      <c r="G183" s="15"/>
    </row>
    <row r="184" ht="15.75" customHeight="1">
      <c r="G184" s="15"/>
    </row>
    <row r="185" ht="15.75" customHeight="1">
      <c r="G185" s="15"/>
    </row>
    <row r="186" ht="15.75" customHeight="1">
      <c r="G186" s="15"/>
    </row>
    <row r="187" ht="15.75" customHeight="1">
      <c r="G187" s="15"/>
    </row>
    <row r="188" ht="15.75" customHeight="1">
      <c r="G188" s="15"/>
    </row>
    <row r="189" ht="15.75" customHeight="1">
      <c r="G189" s="15"/>
    </row>
    <row r="190" ht="15.75" customHeight="1">
      <c r="G190" s="15"/>
    </row>
    <row r="191" ht="15.75" customHeight="1">
      <c r="G191" s="15"/>
    </row>
    <row r="192" ht="15.75" customHeight="1">
      <c r="G192" s="15"/>
    </row>
    <row r="193" ht="15.75" customHeight="1">
      <c r="G193" s="15"/>
    </row>
    <row r="194" ht="15.75" customHeight="1">
      <c r="G194" s="15"/>
    </row>
    <row r="195" ht="15.75" customHeight="1">
      <c r="G195" s="15"/>
    </row>
    <row r="196" ht="15.75" customHeight="1">
      <c r="G196" s="15"/>
    </row>
    <row r="197" ht="15.75" customHeight="1">
      <c r="G197" s="15"/>
    </row>
    <row r="198" ht="15.75" customHeight="1">
      <c r="G198" s="15"/>
    </row>
    <row r="199" ht="15.75" customHeight="1">
      <c r="G199" s="15"/>
    </row>
    <row r="200" ht="15.75" customHeight="1">
      <c r="G200" s="15"/>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2:G1000">
    <cfRule type="cellIs" dxfId="0" priority="1" operator="equal">
      <formula>"Pass"</formula>
    </cfRule>
  </conditionalFormatting>
  <conditionalFormatting sqref="G2:G1000">
    <cfRule type="cellIs" dxfId="1" priority="2" operator="equal">
      <formula>"Fail"</formula>
    </cfRule>
  </conditionalFormatting>
  <dataValidations>
    <dataValidation type="list" allowBlank="1" sqref="G2:G200">
      <formula1>"Pass,Fail"</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16.0"/>
    <col customWidth="1" min="3" max="3" width="28.0"/>
    <col customWidth="1" min="4" max="5" width="10.0"/>
    <col customWidth="1" min="6" max="6" width="30.0"/>
    <col customWidth="1" min="7" max="8" width="26.0"/>
    <col customWidth="1" min="9" max="9" width="12.0"/>
    <col customWidth="1" min="10" max="10" width="14.0"/>
    <col customWidth="1" min="11" max="11" width="12.0"/>
    <col customWidth="1" min="12" max="26" width="8.71"/>
  </cols>
  <sheetData>
    <row r="1" ht="30.0" customHeight="1">
      <c r="A1" s="2" t="s">
        <v>2</v>
      </c>
      <c r="B1" s="2" t="s">
        <v>6</v>
      </c>
      <c r="C1" s="2" t="s">
        <v>8</v>
      </c>
      <c r="D1" s="2" t="s">
        <v>10</v>
      </c>
      <c r="E1" s="2" t="s">
        <v>12</v>
      </c>
      <c r="F1" s="2" t="s">
        <v>7</v>
      </c>
      <c r="G1" s="2" t="s">
        <v>9</v>
      </c>
      <c r="H1" s="2" t="s">
        <v>11</v>
      </c>
      <c r="I1" s="2" t="s">
        <v>16</v>
      </c>
      <c r="J1" s="2" t="s">
        <v>19</v>
      </c>
      <c r="K1" s="2" t="s">
        <v>20</v>
      </c>
    </row>
    <row r="2">
      <c r="A2" s="5" t="s">
        <v>22</v>
      </c>
      <c r="B2" s="7" t="s">
        <v>24</v>
      </c>
      <c r="C2" s="8" t="s">
        <v>28</v>
      </c>
      <c r="D2" s="7" t="s">
        <v>30</v>
      </c>
      <c r="E2" s="7" t="s">
        <v>30</v>
      </c>
      <c r="F2" s="8" t="s">
        <v>33</v>
      </c>
      <c r="G2" s="8" t="s">
        <v>35</v>
      </c>
      <c r="H2" s="8" t="s">
        <v>37</v>
      </c>
      <c r="I2" s="5" t="s">
        <v>38</v>
      </c>
      <c r="J2" s="11">
        <v>46248.0</v>
      </c>
      <c r="K2" s="5" t="s">
        <v>34</v>
      </c>
    </row>
    <row r="3">
      <c r="A3" s="7" t="s">
        <v>45</v>
      </c>
      <c r="B3" s="7" t="s">
        <v>46</v>
      </c>
      <c r="C3" s="8" t="s">
        <v>47</v>
      </c>
      <c r="D3" s="7" t="s">
        <v>48</v>
      </c>
      <c r="E3" s="7" t="s">
        <v>48</v>
      </c>
      <c r="F3" s="8" t="s">
        <v>53</v>
      </c>
      <c r="G3" s="8" t="s">
        <v>54</v>
      </c>
      <c r="H3" s="8" t="s">
        <v>55</v>
      </c>
      <c r="I3" s="7" t="s">
        <v>38</v>
      </c>
      <c r="J3" s="11">
        <v>46248.0</v>
      </c>
      <c r="K3" s="7" t="s">
        <v>34</v>
      </c>
    </row>
    <row r="4">
      <c r="A4" s="5"/>
      <c r="B4" s="5"/>
      <c r="C4" s="6"/>
      <c r="D4" s="5"/>
      <c r="E4" s="5"/>
      <c r="F4" s="6"/>
      <c r="G4" s="6"/>
      <c r="H4" s="6"/>
      <c r="I4" s="5"/>
      <c r="J4" s="5"/>
      <c r="K4" s="5"/>
    </row>
    <row r="5">
      <c r="A5" s="5"/>
      <c r="B5" s="5"/>
      <c r="C5" s="6"/>
      <c r="D5" s="5"/>
      <c r="E5" s="5"/>
      <c r="F5" s="6"/>
      <c r="G5" s="6"/>
      <c r="H5" s="6"/>
      <c r="I5" s="5"/>
      <c r="J5" s="5"/>
      <c r="K5" s="5"/>
    </row>
    <row r="6">
      <c r="A6" s="5"/>
      <c r="B6" s="5"/>
      <c r="C6" s="6"/>
      <c r="D6" s="5"/>
      <c r="E6" s="5"/>
      <c r="F6" s="6"/>
      <c r="G6" s="6"/>
      <c r="H6" s="6"/>
      <c r="I6" s="5"/>
      <c r="J6" s="5"/>
      <c r="K6" s="5"/>
    </row>
    <row r="7">
      <c r="A7" s="5"/>
      <c r="B7" s="5"/>
      <c r="C7" s="6"/>
      <c r="D7" s="5"/>
      <c r="E7" s="5"/>
      <c r="F7" s="6"/>
      <c r="G7" s="6"/>
      <c r="H7" s="6"/>
      <c r="I7" s="5"/>
      <c r="J7" s="5"/>
      <c r="K7" s="5"/>
    </row>
    <row r="8">
      <c r="A8" s="5"/>
      <c r="B8" s="5"/>
      <c r="C8" s="6"/>
      <c r="D8" s="5"/>
      <c r="E8" s="5"/>
      <c r="F8" s="6"/>
      <c r="G8" s="6"/>
      <c r="H8" s="6"/>
      <c r="I8" s="5"/>
      <c r="J8" s="5"/>
      <c r="K8" s="5"/>
    </row>
    <row r="9">
      <c r="A9" s="5"/>
      <c r="B9" s="5"/>
      <c r="C9" s="6"/>
      <c r="D9" s="5"/>
      <c r="E9" s="5"/>
      <c r="F9" s="6"/>
      <c r="G9" s="6"/>
      <c r="H9" s="6"/>
      <c r="I9" s="5"/>
      <c r="J9" s="5"/>
      <c r="K9" s="5"/>
    </row>
    <row r="10">
      <c r="A10" s="5"/>
      <c r="B10" s="5"/>
      <c r="C10" s="6"/>
      <c r="D10" s="5"/>
      <c r="E10" s="5"/>
      <c r="F10" s="6"/>
      <c r="G10" s="6"/>
      <c r="H10" s="6"/>
      <c r="I10" s="5"/>
      <c r="J10" s="5"/>
      <c r="K10" s="5"/>
    </row>
    <row r="11">
      <c r="A11" s="5"/>
      <c r="B11" s="5"/>
      <c r="C11" s="6"/>
      <c r="D11" s="5"/>
      <c r="E11" s="5"/>
      <c r="F11" s="6"/>
      <c r="G11" s="6"/>
      <c r="H11" s="6"/>
      <c r="I11" s="5"/>
      <c r="J11" s="5"/>
      <c r="K11" s="5"/>
    </row>
    <row r="12">
      <c r="A12" s="5"/>
      <c r="B12" s="5"/>
      <c r="C12" s="6"/>
      <c r="D12" s="5"/>
      <c r="E12" s="5"/>
      <c r="F12" s="6"/>
      <c r="G12" s="6"/>
      <c r="H12" s="6"/>
      <c r="I12" s="5"/>
      <c r="J12" s="5"/>
      <c r="K12" s="5"/>
    </row>
    <row r="13">
      <c r="A13" s="5"/>
      <c r="B13" s="5"/>
      <c r="C13" s="6"/>
      <c r="D13" s="5"/>
      <c r="E13" s="5"/>
      <c r="F13" s="6"/>
      <c r="G13" s="6"/>
      <c r="H13" s="6"/>
      <c r="I13" s="5"/>
      <c r="J13" s="5"/>
      <c r="K13" s="5"/>
    </row>
    <row r="14">
      <c r="A14" s="5"/>
      <c r="B14" s="5"/>
      <c r="C14" s="6"/>
      <c r="D14" s="5"/>
      <c r="E14" s="5"/>
      <c r="F14" s="6"/>
      <c r="G14" s="6"/>
      <c r="H14" s="6"/>
      <c r="I14" s="5"/>
      <c r="J14" s="5"/>
      <c r="K14" s="5"/>
    </row>
    <row r="15">
      <c r="A15" s="5"/>
      <c r="B15" s="5"/>
      <c r="C15" s="6"/>
      <c r="D15" s="5"/>
      <c r="E15" s="5"/>
      <c r="F15" s="6"/>
      <c r="G15" s="6"/>
      <c r="H15" s="6"/>
      <c r="I15" s="5"/>
      <c r="J15" s="5"/>
      <c r="K15" s="5"/>
    </row>
    <row r="16">
      <c r="A16" s="5"/>
      <c r="B16" s="5"/>
      <c r="C16" s="6"/>
      <c r="D16" s="5"/>
      <c r="E16" s="5"/>
      <c r="F16" s="6"/>
      <c r="G16" s="6"/>
      <c r="H16" s="6"/>
      <c r="I16" s="5"/>
      <c r="J16" s="5"/>
      <c r="K16" s="5"/>
    </row>
    <row r="17">
      <c r="A17" s="5"/>
      <c r="B17" s="5"/>
      <c r="C17" s="6"/>
      <c r="D17" s="5"/>
      <c r="E17" s="5"/>
      <c r="F17" s="6"/>
      <c r="G17" s="6"/>
      <c r="H17" s="6"/>
      <c r="I17" s="5"/>
      <c r="J17" s="5"/>
      <c r="K17" s="5"/>
    </row>
    <row r="18">
      <c r="A18" s="5"/>
      <c r="B18" s="5"/>
      <c r="C18" s="6"/>
      <c r="D18" s="5"/>
      <c r="E18" s="5"/>
      <c r="F18" s="6"/>
      <c r="G18" s="6"/>
      <c r="H18" s="6"/>
      <c r="I18" s="5"/>
      <c r="J18" s="5"/>
      <c r="K18" s="5"/>
    </row>
    <row r="19">
      <c r="A19" s="5"/>
      <c r="B19" s="5"/>
      <c r="C19" s="6"/>
      <c r="D19" s="5"/>
      <c r="E19" s="5"/>
      <c r="F19" s="6"/>
      <c r="G19" s="6"/>
      <c r="H19" s="6"/>
      <c r="I19" s="5"/>
      <c r="J19" s="5"/>
      <c r="K19" s="5"/>
    </row>
    <row r="20">
      <c r="A20" s="5"/>
      <c r="B20" s="5"/>
      <c r="C20" s="6"/>
      <c r="D20" s="5"/>
      <c r="E20" s="5"/>
      <c r="F20" s="6"/>
      <c r="G20" s="6"/>
      <c r="H20" s="6"/>
      <c r="I20" s="5"/>
      <c r="J20" s="5"/>
      <c r="K20" s="5"/>
    </row>
    <row r="21" ht="15.75" customHeight="1">
      <c r="A21" s="5"/>
      <c r="B21" s="5"/>
      <c r="C21" s="6"/>
      <c r="D21" s="5"/>
      <c r="E21" s="5"/>
      <c r="F21" s="6"/>
      <c r="G21" s="6"/>
      <c r="H21" s="6"/>
      <c r="I21" s="5"/>
      <c r="J21" s="5"/>
      <c r="K21" s="5"/>
    </row>
    <row r="22" ht="15.75" customHeight="1">
      <c r="D22" s="15"/>
      <c r="E22" s="15"/>
      <c r="I22" s="15"/>
    </row>
    <row r="23" ht="15.75" customHeight="1">
      <c r="D23" s="15"/>
      <c r="E23" s="15"/>
      <c r="I23" s="15"/>
    </row>
    <row r="24" ht="15.75" customHeight="1">
      <c r="D24" s="15"/>
      <c r="E24" s="15"/>
      <c r="I24" s="15"/>
    </row>
    <row r="25" ht="15.75" customHeight="1">
      <c r="D25" s="15"/>
      <c r="E25" s="15"/>
      <c r="I25" s="15"/>
    </row>
    <row r="26" ht="15.75" customHeight="1">
      <c r="D26" s="15"/>
      <c r="E26" s="15"/>
      <c r="I26" s="15"/>
    </row>
    <row r="27" ht="15.75" customHeight="1">
      <c r="D27" s="15"/>
      <c r="E27" s="15"/>
      <c r="I27" s="15"/>
    </row>
    <row r="28" ht="15.75" customHeight="1">
      <c r="D28" s="15"/>
      <c r="E28" s="15"/>
      <c r="I28" s="15"/>
    </row>
    <row r="29" ht="15.75" customHeight="1">
      <c r="D29" s="15"/>
      <c r="E29" s="15"/>
      <c r="I29" s="15"/>
    </row>
    <row r="30" ht="15.75" customHeight="1">
      <c r="D30" s="15"/>
      <c r="E30" s="15"/>
      <c r="I30" s="15"/>
    </row>
    <row r="31" ht="15.75" customHeight="1">
      <c r="D31" s="15"/>
      <c r="E31" s="15"/>
      <c r="I31" s="15"/>
    </row>
    <row r="32" ht="15.75" customHeight="1">
      <c r="D32" s="15"/>
      <c r="E32" s="15"/>
      <c r="I32" s="15"/>
    </row>
    <row r="33" ht="15.75" customHeight="1">
      <c r="D33" s="15"/>
      <c r="E33" s="15"/>
      <c r="I33" s="15"/>
    </row>
    <row r="34" ht="15.75" customHeight="1">
      <c r="D34" s="15"/>
      <c r="E34" s="15"/>
      <c r="I34" s="15"/>
    </row>
    <row r="35" ht="15.75" customHeight="1">
      <c r="D35" s="15"/>
      <c r="E35" s="15"/>
      <c r="I35" s="15"/>
    </row>
    <row r="36" ht="15.75" customHeight="1">
      <c r="D36" s="15"/>
      <c r="E36" s="15"/>
      <c r="I36" s="15"/>
    </row>
    <row r="37" ht="15.75" customHeight="1">
      <c r="D37" s="15"/>
      <c r="E37" s="15"/>
      <c r="I37" s="15"/>
    </row>
    <row r="38" ht="15.75" customHeight="1">
      <c r="D38" s="15"/>
      <c r="E38" s="15"/>
      <c r="I38" s="15"/>
    </row>
    <row r="39" ht="15.75" customHeight="1">
      <c r="D39" s="15"/>
      <c r="E39" s="15"/>
      <c r="I39" s="15"/>
    </row>
    <row r="40" ht="15.75" customHeight="1">
      <c r="D40" s="15"/>
      <c r="E40" s="15"/>
      <c r="I40" s="15"/>
    </row>
    <row r="41" ht="15.75" customHeight="1">
      <c r="D41" s="15"/>
      <c r="E41" s="15"/>
      <c r="I41" s="15"/>
    </row>
    <row r="42" ht="15.75" customHeight="1">
      <c r="D42" s="15"/>
      <c r="E42" s="15"/>
      <c r="I42" s="15"/>
    </row>
    <row r="43" ht="15.75" customHeight="1">
      <c r="D43" s="15"/>
      <c r="E43" s="15"/>
      <c r="I43" s="15"/>
    </row>
    <row r="44" ht="15.75" customHeight="1">
      <c r="D44" s="15"/>
      <c r="E44" s="15"/>
      <c r="I44" s="15"/>
    </row>
    <row r="45" ht="15.75" customHeight="1">
      <c r="D45" s="15"/>
      <c r="E45" s="15"/>
      <c r="I45" s="15"/>
    </row>
    <row r="46" ht="15.75" customHeight="1">
      <c r="D46" s="15"/>
      <c r="E46" s="15"/>
      <c r="I46" s="15"/>
    </row>
    <row r="47" ht="15.75" customHeight="1">
      <c r="D47" s="15"/>
      <c r="E47" s="15"/>
      <c r="I47" s="15"/>
    </row>
    <row r="48" ht="15.75" customHeight="1">
      <c r="D48" s="15"/>
      <c r="E48" s="15"/>
      <c r="I48" s="15"/>
    </row>
    <row r="49" ht="15.75" customHeight="1">
      <c r="D49" s="15"/>
      <c r="E49" s="15"/>
      <c r="I49" s="15"/>
    </row>
    <row r="50" ht="15.75" customHeight="1">
      <c r="D50" s="15"/>
      <c r="E50" s="15"/>
      <c r="I50" s="15"/>
    </row>
    <row r="51" ht="15.75" customHeight="1">
      <c r="D51" s="15"/>
      <c r="E51" s="15"/>
      <c r="I51" s="15"/>
    </row>
    <row r="52" ht="15.75" customHeight="1">
      <c r="D52" s="15"/>
      <c r="E52" s="15"/>
      <c r="I52" s="15"/>
    </row>
    <row r="53" ht="15.75" customHeight="1">
      <c r="D53" s="15"/>
      <c r="E53" s="15"/>
      <c r="I53" s="15"/>
    </row>
    <row r="54" ht="15.75" customHeight="1">
      <c r="D54" s="15"/>
      <c r="E54" s="15"/>
      <c r="I54" s="15"/>
    </row>
    <row r="55" ht="15.75" customHeight="1">
      <c r="D55" s="15"/>
      <c r="E55" s="15"/>
      <c r="I55" s="15"/>
    </row>
    <row r="56" ht="15.75" customHeight="1">
      <c r="D56" s="15"/>
      <c r="E56" s="15"/>
      <c r="I56" s="15"/>
    </row>
    <row r="57" ht="15.75" customHeight="1">
      <c r="D57" s="15"/>
      <c r="E57" s="15"/>
      <c r="I57" s="15"/>
    </row>
    <row r="58" ht="15.75" customHeight="1">
      <c r="D58" s="15"/>
      <c r="E58" s="15"/>
      <c r="I58" s="15"/>
    </row>
    <row r="59" ht="15.75" customHeight="1">
      <c r="D59" s="15"/>
      <c r="E59" s="15"/>
      <c r="I59" s="15"/>
    </row>
    <row r="60" ht="15.75" customHeight="1">
      <c r="D60" s="15"/>
      <c r="E60" s="15"/>
      <c r="I60" s="15"/>
    </row>
    <row r="61" ht="15.75" customHeight="1">
      <c r="D61" s="15"/>
      <c r="E61" s="15"/>
      <c r="I61" s="15"/>
    </row>
    <row r="62" ht="15.75" customHeight="1">
      <c r="D62" s="15"/>
      <c r="E62" s="15"/>
      <c r="I62" s="15"/>
    </row>
    <row r="63" ht="15.75" customHeight="1">
      <c r="D63" s="15"/>
      <c r="E63" s="15"/>
      <c r="I63" s="15"/>
    </row>
    <row r="64" ht="15.75" customHeight="1">
      <c r="D64" s="15"/>
      <c r="E64" s="15"/>
      <c r="I64" s="15"/>
    </row>
    <row r="65" ht="15.75" customHeight="1">
      <c r="D65" s="15"/>
      <c r="E65" s="15"/>
      <c r="I65" s="15"/>
    </row>
    <row r="66" ht="15.75" customHeight="1">
      <c r="D66" s="15"/>
      <c r="E66" s="15"/>
      <c r="I66" s="15"/>
    </row>
    <row r="67" ht="15.75" customHeight="1">
      <c r="D67" s="15"/>
      <c r="E67" s="15"/>
      <c r="I67" s="15"/>
    </row>
    <row r="68" ht="15.75" customHeight="1">
      <c r="D68" s="15"/>
      <c r="E68" s="15"/>
      <c r="I68" s="15"/>
    </row>
    <row r="69" ht="15.75" customHeight="1">
      <c r="D69" s="15"/>
      <c r="E69" s="15"/>
      <c r="I69" s="15"/>
    </row>
    <row r="70" ht="15.75" customHeight="1">
      <c r="D70" s="15"/>
      <c r="E70" s="15"/>
      <c r="I70" s="15"/>
    </row>
    <row r="71" ht="15.75" customHeight="1">
      <c r="D71" s="15"/>
      <c r="E71" s="15"/>
      <c r="I71" s="15"/>
    </row>
    <row r="72" ht="15.75" customHeight="1">
      <c r="D72" s="15"/>
      <c r="E72" s="15"/>
      <c r="I72" s="15"/>
    </row>
    <row r="73" ht="15.75" customHeight="1">
      <c r="D73" s="15"/>
      <c r="E73" s="15"/>
      <c r="I73" s="15"/>
    </row>
    <row r="74" ht="15.75" customHeight="1">
      <c r="D74" s="15"/>
      <c r="E74" s="15"/>
      <c r="I74" s="15"/>
    </row>
    <row r="75" ht="15.75" customHeight="1">
      <c r="D75" s="15"/>
      <c r="E75" s="15"/>
      <c r="I75" s="15"/>
    </row>
    <row r="76" ht="15.75" customHeight="1">
      <c r="D76" s="15"/>
      <c r="E76" s="15"/>
      <c r="I76" s="15"/>
    </row>
    <row r="77" ht="15.75" customHeight="1">
      <c r="D77" s="15"/>
      <c r="E77" s="15"/>
      <c r="I77" s="15"/>
    </row>
    <row r="78" ht="15.75" customHeight="1">
      <c r="D78" s="15"/>
      <c r="E78" s="15"/>
      <c r="I78" s="15"/>
    </row>
    <row r="79" ht="15.75" customHeight="1">
      <c r="D79" s="15"/>
      <c r="E79" s="15"/>
      <c r="I79" s="15"/>
    </row>
    <row r="80" ht="15.75" customHeight="1">
      <c r="D80" s="15"/>
      <c r="E80" s="15"/>
      <c r="I80" s="15"/>
    </row>
    <row r="81" ht="15.75" customHeight="1">
      <c r="D81" s="15"/>
      <c r="E81" s="15"/>
      <c r="I81" s="15"/>
    </row>
    <row r="82" ht="15.75" customHeight="1">
      <c r="D82" s="15"/>
      <c r="E82" s="15"/>
      <c r="I82" s="15"/>
    </row>
    <row r="83" ht="15.75" customHeight="1">
      <c r="D83" s="15"/>
      <c r="E83" s="15"/>
      <c r="I83" s="15"/>
    </row>
    <row r="84" ht="15.75" customHeight="1">
      <c r="D84" s="15"/>
      <c r="E84" s="15"/>
      <c r="I84" s="15"/>
    </row>
    <row r="85" ht="15.75" customHeight="1">
      <c r="D85" s="15"/>
      <c r="E85" s="15"/>
      <c r="I85" s="15"/>
    </row>
    <row r="86" ht="15.75" customHeight="1">
      <c r="D86" s="15"/>
      <c r="E86" s="15"/>
      <c r="I86" s="15"/>
    </row>
    <row r="87" ht="15.75" customHeight="1">
      <c r="D87" s="15"/>
      <c r="E87" s="15"/>
      <c r="I87" s="15"/>
    </row>
    <row r="88" ht="15.75" customHeight="1">
      <c r="D88" s="15"/>
      <c r="E88" s="15"/>
      <c r="I88" s="15"/>
    </row>
    <row r="89" ht="15.75" customHeight="1">
      <c r="D89" s="15"/>
      <c r="E89" s="15"/>
      <c r="I89" s="15"/>
    </row>
    <row r="90" ht="15.75" customHeight="1">
      <c r="D90" s="15"/>
      <c r="E90" s="15"/>
      <c r="I90" s="15"/>
    </row>
    <row r="91" ht="15.75" customHeight="1">
      <c r="D91" s="15"/>
      <c r="E91" s="15"/>
      <c r="I91" s="15"/>
    </row>
    <row r="92" ht="15.75" customHeight="1">
      <c r="D92" s="15"/>
      <c r="E92" s="15"/>
      <c r="I92" s="15"/>
    </row>
    <row r="93" ht="15.75" customHeight="1">
      <c r="D93" s="15"/>
      <c r="E93" s="15"/>
      <c r="I93" s="15"/>
    </row>
    <row r="94" ht="15.75" customHeight="1">
      <c r="D94" s="15"/>
      <c r="E94" s="15"/>
      <c r="I94" s="15"/>
    </row>
    <row r="95" ht="15.75" customHeight="1">
      <c r="D95" s="15"/>
      <c r="E95" s="15"/>
      <c r="I95" s="15"/>
    </row>
    <row r="96" ht="15.75" customHeight="1">
      <c r="D96" s="15"/>
      <c r="E96" s="15"/>
      <c r="I96" s="15"/>
    </row>
    <row r="97" ht="15.75" customHeight="1">
      <c r="D97" s="15"/>
      <c r="E97" s="15"/>
      <c r="I97" s="15"/>
    </row>
    <row r="98" ht="15.75" customHeight="1">
      <c r="D98" s="15"/>
      <c r="E98" s="15"/>
      <c r="I98" s="15"/>
    </row>
    <row r="99" ht="15.75" customHeight="1">
      <c r="D99" s="15"/>
      <c r="E99" s="15"/>
      <c r="I99" s="15"/>
    </row>
    <row r="100" ht="15.75" customHeight="1">
      <c r="D100" s="15"/>
      <c r="E100" s="15"/>
      <c r="I100" s="15"/>
    </row>
    <row r="101" ht="15.75" customHeight="1">
      <c r="D101" s="15"/>
      <c r="E101" s="15"/>
      <c r="I101" s="15"/>
    </row>
    <row r="102" ht="15.75" customHeight="1">
      <c r="D102" s="15"/>
      <c r="E102" s="15"/>
      <c r="I102" s="15"/>
    </row>
    <row r="103" ht="15.75" customHeight="1">
      <c r="D103" s="15"/>
      <c r="E103" s="15"/>
      <c r="I103" s="15"/>
    </row>
    <row r="104" ht="15.75" customHeight="1">
      <c r="D104" s="15"/>
      <c r="E104" s="15"/>
      <c r="I104" s="15"/>
    </row>
    <row r="105" ht="15.75" customHeight="1">
      <c r="D105" s="15"/>
      <c r="E105" s="15"/>
      <c r="I105" s="15"/>
    </row>
    <row r="106" ht="15.75" customHeight="1">
      <c r="D106" s="15"/>
      <c r="E106" s="15"/>
      <c r="I106" s="15"/>
    </row>
    <row r="107" ht="15.75" customHeight="1">
      <c r="D107" s="15"/>
      <c r="E107" s="15"/>
      <c r="I107" s="15"/>
    </row>
    <row r="108" ht="15.75" customHeight="1">
      <c r="D108" s="15"/>
      <c r="E108" s="15"/>
      <c r="I108" s="15"/>
    </row>
    <row r="109" ht="15.75" customHeight="1">
      <c r="D109" s="15"/>
      <c r="E109" s="15"/>
      <c r="I109" s="15"/>
    </row>
    <row r="110" ht="15.75" customHeight="1">
      <c r="D110" s="15"/>
      <c r="E110" s="15"/>
      <c r="I110" s="15"/>
    </row>
    <row r="111" ht="15.75" customHeight="1">
      <c r="D111" s="15"/>
      <c r="E111" s="15"/>
      <c r="I111" s="15"/>
    </row>
    <row r="112" ht="15.75" customHeight="1">
      <c r="D112" s="15"/>
      <c r="E112" s="15"/>
      <c r="I112" s="15"/>
    </row>
    <row r="113" ht="15.75" customHeight="1">
      <c r="D113" s="15"/>
      <c r="E113" s="15"/>
      <c r="I113" s="15"/>
    </row>
    <row r="114" ht="15.75" customHeight="1">
      <c r="D114" s="15"/>
      <c r="E114" s="15"/>
      <c r="I114" s="15"/>
    </row>
    <row r="115" ht="15.75" customHeight="1">
      <c r="D115" s="15"/>
      <c r="E115" s="15"/>
      <c r="I115" s="15"/>
    </row>
    <row r="116" ht="15.75" customHeight="1">
      <c r="D116" s="15"/>
      <c r="E116" s="15"/>
      <c r="I116" s="15"/>
    </row>
    <row r="117" ht="15.75" customHeight="1">
      <c r="D117" s="15"/>
      <c r="E117" s="15"/>
      <c r="I117" s="15"/>
    </row>
    <row r="118" ht="15.75" customHeight="1">
      <c r="D118" s="15"/>
      <c r="E118" s="15"/>
      <c r="I118" s="15"/>
    </row>
    <row r="119" ht="15.75" customHeight="1">
      <c r="D119" s="15"/>
      <c r="E119" s="15"/>
      <c r="I119" s="15"/>
    </row>
    <row r="120" ht="15.75" customHeight="1">
      <c r="D120" s="15"/>
      <c r="E120" s="15"/>
      <c r="I120" s="15"/>
    </row>
    <row r="121" ht="15.75" customHeight="1">
      <c r="D121" s="15"/>
      <c r="E121" s="15"/>
      <c r="I121" s="15"/>
    </row>
    <row r="122" ht="15.75" customHeight="1">
      <c r="D122" s="15"/>
      <c r="E122" s="15"/>
      <c r="I122" s="15"/>
    </row>
    <row r="123" ht="15.75" customHeight="1">
      <c r="D123" s="15"/>
      <c r="E123" s="15"/>
      <c r="I123" s="15"/>
    </row>
    <row r="124" ht="15.75" customHeight="1">
      <c r="D124" s="15"/>
      <c r="E124" s="15"/>
      <c r="I124" s="15"/>
    </row>
    <row r="125" ht="15.75" customHeight="1">
      <c r="D125" s="15"/>
      <c r="E125" s="15"/>
      <c r="I125" s="15"/>
    </row>
    <row r="126" ht="15.75" customHeight="1">
      <c r="D126" s="15"/>
      <c r="E126" s="15"/>
      <c r="I126" s="15"/>
    </row>
    <row r="127" ht="15.75" customHeight="1">
      <c r="D127" s="15"/>
      <c r="E127" s="15"/>
      <c r="I127" s="15"/>
    </row>
    <row r="128" ht="15.75" customHeight="1">
      <c r="D128" s="15"/>
      <c r="E128" s="15"/>
      <c r="I128" s="15"/>
    </row>
    <row r="129" ht="15.75" customHeight="1">
      <c r="D129" s="15"/>
      <c r="E129" s="15"/>
      <c r="I129" s="15"/>
    </row>
    <row r="130" ht="15.75" customHeight="1">
      <c r="D130" s="15"/>
      <c r="E130" s="15"/>
      <c r="I130" s="15"/>
    </row>
    <row r="131" ht="15.75" customHeight="1">
      <c r="D131" s="15"/>
      <c r="E131" s="15"/>
      <c r="I131" s="15"/>
    </row>
    <row r="132" ht="15.75" customHeight="1">
      <c r="D132" s="15"/>
      <c r="E132" s="15"/>
      <c r="I132" s="15"/>
    </row>
    <row r="133" ht="15.75" customHeight="1">
      <c r="D133" s="15"/>
      <c r="E133" s="15"/>
      <c r="I133" s="15"/>
    </row>
    <row r="134" ht="15.75" customHeight="1">
      <c r="D134" s="15"/>
      <c r="E134" s="15"/>
      <c r="I134" s="15"/>
    </row>
    <row r="135" ht="15.75" customHeight="1">
      <c r="D135" s="15"/>
      <c r="E135" s="15"/>
      <c r="I135" s="15"/>
    </row>
    <row r="136" ht="15.75" customHeight="1">
      <c r="D136" s="15"/>
      <c r="E136" s="15"/>
      <c r="I136" s="15"/>
    </row>
    <row r="137" ht="15.75" customHeight="1">
      <c r="D137" s="15"/>
      <c r="E137" s="15"/>
      <c r="I137" s="15"/>
    </row>
    <row r="138" ht="15.75" customHeight="1">
      <c r="D138" s="15"/>
      <c r="E138" s="15"/>
      <c r="I138" s="15"/>
    </row>
    <row r="139" ht="15.75" customHeight="1">
      <c r="D139" s="15"/>
      <c r="E139" s="15"/>
      <c r="I139" s="15"/>
    </row>
    <row r="140" ht="15.75" customHeight="1">
      <c r="D140" s="15"/>
      <c r="E140" s="15"/>
      <c r="I140" s="15"/>
    </row>
    <row r="141" ht="15.75" customHeight="1">
      <c r="D141" s="15"/>
      <c r="E141" s="15"/>
      <c r="I141" s="15"/>
    </row>
    <row r="142" ht="15.75" customHeight="1">
      <c r="D142" s="15"/>
      <c r="E142" s="15"/>
      <c r="I142" s="15"/>
    </row>
    <row r="143" ht="15.75" customHeight="1">
      <c r="D143" s="15"/>
      <c r="E143" s="15"/>
      <c r="I143" s="15"/>
    </row>
    <row r="144" ht="15.75" customHeight="1">
      <c r="D144" s="15"/>
      <c r="E144" s="15"/>
      <c r="I144" s="15"/>
    </row>
    <row r="145" ht="15.75" customHeight="1">
      <c r="D145" s="15"/>
      <c r="E145" s="15"/>
      <c r="I145" s="15"/>
    </row>
    <row r="146" ht="15.75" customHeight="1">
      <c r="D146" s="15"/>
      <c r="E146" s="15"/>
      <c r="I146" s="15"/>
    </row>
    <row r="147" ht="15.75" customHeight="1">
      <c r="D147" s="15"/>
      <c r="E147" s="15"/>
      <c r="I147" s="15"/>
    </row>
    <row r="148" ht="15.75" customHeight="1">
      <c r="D148" s="15"/>
      <c r="E148" s="15"/>
      <c r="I148" s="15"/>
    </row>
    <row r="149" ht="15.75" customHeight="1">
      <c r="D149" s="15"/>
      <c r="E149" s="15"/>
      <c r="I149" s="15"/>
    </row>
    <row r="150" ht="15.75" customHeight="1">
      <c r="D150" s="15"/>
      <c r="E150" s="15"/>
      <c r="I150" s="15"/>
    </row>
    <row r="151" ht="15.75" customHeight="1">
      <c r="D151" s="15"/>
      <c r="E151" s="15"/>
      <c r="I151" s="15"/>
    </row>
    <row r="152" ht="15.75" customHeight="1">
      <c r="D152" s="15"/>
      <c r="E152" s="15"/>
      <c r="I152" s="15"/>
    </row>
    <row r="153" ht="15.75" customHeight="1">
      <c r="D153" s="15"/>
      <c r="E153" s="15"/>
      <c r="I153" s="15"/>
    </row>
    <row r="154" ht="15.75" customHeight="1">
      <c r="D154" s="15"/>
      <c r="E154" s="15"/>
      <c r="I154" s="15"/>
    </row>
    <row r="155" ht="15.75" customHeight="1">
      <c r="D155" s="15"/>
      <c r="E155" s="15"/>
      <c r="I155" s="15"/>
    </row>
    <row r="156" ht="15.75" customHeight="1">
      <c r="D156" s="15"/>
      <c r="E156" s="15"/>
      <c r="I156" s="15"/>
    </row>
    <row r="157" ht="15.75" customHeight="1">
      <c r="D157" s="15"/>
      <c r="E157" s="15"/>
      <c r="I157" s="15"/>
    </row>
    <row r="158" ht="15.75" customHeight="1">
      <c r="D158" s="15"/>
      <c r="E158" s="15"/>
      <c r="I158" s="15"/>
    </row>
    <row r="159" ht="15.75" customHeight="1">
      <c r="D159" s="15"/>
      <c r="E159" s="15"/>
      <c r="I159" s="15"/>
    </row>
    <row r="160" ht="15.75" customHeight="1">
      <c r="D160" s="15"/>
      <c r="E160" s="15"/>
      <c r="I160" s="15"/>
    </row>
    <row r="161" ht="15.75" customHeight="1">
      <c r="D161" s="15"/>
      <c r="E161" s="15"/>
      <c r="I161" s="15"/>
    </row>
    <row r="162" ht="15.75" customHeight="1">
      <c r="D162" s="15"/>
      <c r="E162" s="15"/>
      <c r="I162" s="15"/>
    </row>
    <row r="163" ht="15.75" customHeight="1">
      <c r="D163" s="15"/>
      <c r="E163" s="15"/>
      <c r="I163" s="15"/>
    </row>
    <row r="164" ht="15.75" customHeight="1">
      <c r="D164" s="15"/>
      <c r="E164" s="15"/>
      <c r="I164" s="15"/>
    </row>
    <row r="165" ht="15.75" customHeight="1">
      <c r="D165" s="15"/>
      <c r="E165" s="15"/>
      <c r="I165" s="15"/>
    </row>
    <row r="166" ht="15.75" customHeight="1">
      <c r="D166" s="15"/>
      <c r="E166" s="15"/>
      <c r="I166" s="15"/>
    </row>
    <row r="167" ht="15.75" customHeight="1">
      <c r="D167" s="15"/>
      <c r="E167" s="15"/>
      <c r="I167" s="15"/>
    </row>
    <row r="168" ht="15.75" customHeight="1">
      <c r="D168" s="15"/>
      <c r="E168" s="15"/>
      <c r="I168" s="15"/>
    </row>
    <row r="169" ht="15.75" customHeight="1">
      <c r="D169" s="15"/>
      <c r="E169" s="15"/>
      <c r="I169" s="15"/>
    </row>
    <row r="170" ht="15.75" customHeight="1">
      <c r="D170" s="15"/>
      <c r="E170" s="15"/>
      <c r="I170" s="15"/>
    </row>
    <row r="171" ht="15.75" customHeight="1">
      <c r="D171" s="15"/>
      <c r="E171" s="15"/>
      <c r="I171" s="15"/>
    </row>
    <row r="172" ht="15.75" customHeight="1">
      <c r="D172" s="15"/>
      <c r="E172" s="15"/>
      <c r="I172" s="15"/>
    </row>
    <row r="173" ht="15.75" customHeight="1">
      <c r="D173" s="15"/>
      <c r="E173" s="15"/>
      <c r="I173" s="15"/>
    </row>
    <row r="174" ht="15.75" customHeight="1">
      <c r="D174" s="15"/>
      <c r="E174" s="15"/>
      <c r="I174" s="15"/>
    </row>
    <row r="175" ht="15.75" customHeight="1">
      <c r="D175" s="15"/>
      <c r="E175" s="15"/>
      <c r="I175" s="15"/>
    </row>
    <row r="176" ht="15.75" customHeight="1">
      <c r="D176" s="15"/>
      <c r="E176" s="15"/>
      <c r="I176" s="15"/>
    </row>
    <row r="177" ht="15.75" customHeight="1">
      <c r="D177" s="15"/>
      <c r="E177" s="15"/>
      <c r="I177" s="15"/>
    </row>
    <row r="178" ht="15.75" customHeight="1">
      <c r="D178" s="15"/>
      <c r="E178" s="15"/>
      <c r="I178" s="15"/>
    </row>
    <row r="179" ht="15.75" customHeight="1">
      <c r="D179" s="15"/>
      <c r="E179" s="15"/>
      <c r="I179" s="15"/>
    </row>
    <row r="180" ht="15.75" customHeight="1">
      <c r="D180" s="15"/>
      <c r="E180" s="15"/>
      <c r="I180" s="15"/>
    </row>
    <row r="181" ht="15.75" customHeight="1">
      <c r="D181" s="15"/>
      <c r="E181" s="15"/>
      <c r="I181" s="15"/>
    </row>
    <row r="182" ht="15.75" customHeight="1">
      <c r="D182" s="15"/>
      <c r="E182" s="15"/>
      <c r="I182" s="15"/>
    </row>
    <row r="183" ht="15.75" customHeight="1">
      <c r="D183" s="15"/>
      <c r="E183" s="15"/>
      <c r="I183" s="15"/>
    </row>
    <row r="184" ht="15.75" customHeight="1">
      <c r="D184" s="15"/>
      <c r="E184" s="15"/>
      <c r="I184" s="15"/>
    </row>
    <row r="185" ht="15.75" customHeight="1">
      <c r="D185" s="15"/>
      <c r="E185" s="15"/>
      <c r="I185" s="15"/>
    </row>
    <row r="186" ht="15.75" customHeight="1">
      <c r="D186" s="15"/>
      <c r="E186" s="15"/>
      <c r="I186" s="15"/>
    </row>
    <row r="187" ht="15.75" customHeight="1">
      <c r="D187" s="15"/>
      <c r="E187" s="15"/>
      <c r="I187" s="15"/>
    </row>
    <row r="188" ht="15.75" customHeight="1">
      <c r="D188" s="15"/>
      <c r="E188" s="15"/>
      <c r="I188" s="15"/>
    </row>
    <row r="189" ht="15.75" customHeight="1">
      <c r="D189" s="15"/>
      <c r="E189" s="15"/>
      <c r="I189" s="15"/>
    </row>
    <row r="190" ht="15.75" customHeight="1">
      <c r="D190" s="15"/>
      <c r="E190" s="15"/>
      <c r="I190" s="15"/>
    </row>
    <row r="191" ht="15.75" customHeight="1">
      <c r="D191" s="15"/>
      <c r="E191" s="15"/>
      <c r="I191" s="15"/>
    </row>
    <row r="192" ht="15.75" customHeight="1">
      <c r="D192" s="15"/>
      <c r="E192" s="15"/>
      <c r="I192" s="15"/>
    </row>
    <row r="193" ht="15.75" customHeight="1">
      <c r="D193" s="15"/>
      <c r="E193" s="15"/>
      <c r="I193" s="15"/>
    </row>
    <row r="194" ht="15.75" customHeight="1">
      <c r="D194" s="15"/>
      <c r="E194" s="15"/>
      <c r="I194" s="15"/>
    </row>
    <row r="195" ht="15.75" customHeight="1">
      <c r="D195" s="15"/>
      <c r="E195" s="15"/>
      <c r="I195" s="15"/>
    </row>
    <row r="196" ht="15.75" customHeight="1">
      <c r="D196" s="15"/>
      <c r="E196" s="15"/>
      <c r="I196" s="15"/>
    </row>
    <row r="197" ht="15.75" customHeight="1">
      <c r="D197" s="15"/>
      <c r="E197" s="15"/>
      <c r="I197" s="15"/>
    </row>
    <row r="198" ht="15.75" customHeight="1">
      <c r="D198" s="15"/>
      <c r="E198" s="15"/>
      <c r="I198" s="15"/>
    </row>
    <row r="199" ht="15.75" customHeight="1">
      <c r="D199" s="15"/>
      <c r="E199" s="15"/>
      <c r="I199" s="15"/>
    </row>
    <row r="200" ht="15.75" customHeight="1">
      <c r="D200" s="15"/>
      <c r="E200" s="15"/>
      <c r="I200" s="15"/>
    </row>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D2:D200">
      <formula1>"Low,Medium,High,Critical"</formula1>
    </dataValidation>
    <dataValidation type="list" allowBlank="1" sqref="E2:E200">
      <formula1>"Low,Medium,High"</formula1>
    </dataValidation>
    <dataValidation type="list" allowBlank="1" sqref="I2:I200">
      <formula1>"Open,In Progress,Fixed,Closed,Won't Fix"</formula1>
    </dataValidation>
  </dataValidations>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6.0"/>
    <col customWidth="1" min="3" max="26" width="8.71"/>
  </cols>
  <sheetData>
    <row r="1">
      <c r="A1" s="1" t="s">
        <v>0</v>
      </c>
    </row>
    <row r="3">
      <c r="A3" s="3" t="s">
        <v>3</v>
      </c>
      <c r="B3" s="4">
        <f>COUNTA('Test Cases'!A2:A200)</f>
        <v>26</v>
      </c>
    </row>
    <row r="4">
      <c r="A4" s="3" t="s">
        <v>17</v>
      </c>
      <c r="B4" s="4">
        <f>COUNTIF('Test Cases'!G2:G200,"Pass")</f>
        <v>24</v>
      </c>
    </row>
    <row r="5">
      <c r="A5" s="3" t="s">
        <v>25</v>
      </c>
      <c r="B5" s="4">
        <f>COUNTIF('Test Cases'!G2:G200,"Fail")</f>
        <v>2</v>
      </c>
    </row>
    <row r="6">
      <c r="A6" s="3" t="s">
        <v>29</v>
      </c>
      <c r="B6" s="10">
        <f>IFERROR(B4/B3,0)</f>
        <v>0.9230769231</v>
      </c>
    </row>
    <row r="7">
      <c r="A7" s="3" t="s">
        <v>39</v>
      </c>
      <c r="B7" s="4">
        <f>COUNTA('Bug Reports'!A2:A200)</f>
        <v>2</v>
      </c>
    </row>
    <row r="8">
      <c r="A8" s="3" t="s">
        <v>44</v>
      </c>
      <c r="B8" s="4">
        <f>COUNTIF('Bug Reports'!I2:I200,"Open")</f>
        <v>2</v>
      </c>
    </row>
    <row r="9">
      <c r="A9" s="3" t="s">
        <v>49</v>
      </c>
      <c r="B9" s="4">
        <f>COUNTIF('Bug Reports'!I2:I200,"Fixed")</f>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2026-08-13T16:23:55Z</dcterms:created>
  <dc:creator>openpyxl</dc:creator>
</cp:coreProperties>
</file>

<file path=docProps/custom.xml><?xml version="1.0" encoding="utf-8"?>
<Properties xmlns="http://schemas.openxmlformats.org/officeDocument/2006/custom-properties" xmlns:vt="http://schemas.openxmlformats.org/officeDocument/2006/docPropsVTypes"/>
</file>